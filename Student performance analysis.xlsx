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esktop\Rachit\Projects\excel\"/>
    </mc:Choice>
  </mc:AlternateContent>
  <xr:revisionPtr revIDLastSave="0" documentId="13_ncr:1_{DD0BC06C-E882-4C94-8351-BADA8617DFA4}" xr6:coauthVersionLast="47" xr6:coauthVersionMax="47" xr10:uidLastSave="{00000000-0000-0000-0000-000000000000}"/>
  <bookViews>
    <workbookView xWindow="-108" yWindow="-108" windowWidth="23256" windowHeight="12456" firstSheet="3" activeTab="8" xr2:uid="{C32358CB-4CBB-479A-8E7E-823B10EFCE79}"/>
  </bookViews>
  <sheets>
    <sheet name="ROW DATA" sheetId="1" r:id="rId1"/>
    <sheet name="PERFORMANCES" sheetId="3" r:id="rId2"/>
    <sheet name="MALE VS FEMALE" sheetId="5" r:id="rId3"/>
    <sheet name="PASS VS FAIL" sheetId="6" r:id="rId4"/>
    <sheet name="BACKLOGS" sheetId="7" r:id="rId5"/>
    <sheet name="PLACEMENTS" sheetId="8" r:id="rId6"/>
    <sheet name="EACH SUBJECT" sheetId="10" r:id="rId7"/>
    <sheet name="MALE VS FEMALE PLACEMENT" sheetId="13" r:id="rId8"/>
    <sheet name="REPORT" sheetId="4" r:id="rId9"/>
  </sheets>
  <definedNames>
    <definedName name="Slicer_AGE">#N/A</definedName>
    <definedName name="Slicer_COURSE">#N/A</definedName>
    <definedName name="Slicer_GENDER">#N/A</definedName>
    <definedName name="Slicer_PERFORMANCE">#N/A</definedName>
    <definedName name="Slicer_SEMESTER">#N/A</definedName>
  </definedNames>
  <calcPr calcId="191029"/>
  <pivotCaches>
    <pivotCache cacheId="0" r:id="rId10"/>
    <pivotCache cacheId="1" r:id="rId11"/>
    <pivotCache cacheId="2" r:id="rId12"/>
    <pivotCache cacheId="3"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F6" i="1" l="1"/>
  <c r="AF4" i="1"/>
  <c r="AF5" i="1"/>
  <c r="AF3" i="1"/>
  <c r="AF2" i="1"/>
  <c r="X6" i="1"/>
  <c r="X5" i="1"/>
  <c r="X4" i="1"/>
  <c r="X3" i="1"/>
  <c r="X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2" i="1"/>
  <c r="O3" i="1"/>
  <c r="S3" i="1" s="1"/>
  <c r="O4" i="1"/>
  <c r="S4" i="1" s="1"/>
  <c r="O5" i="1"/>
  <c r="S5" i="1" s="1"/>
  <c r="O6" i="1"/>
  <c r="S6" i="1" s="1"/>
  <c r="O7" i="1"/>
  <c r="S7" i="1" s="1"/>
  <c r="O8" i="1"/>
  <c r="S8" i="1" s="1"/>
  <c r="O9" i="1"/>
  <c r="S9" i="1" s="1"/>
  <c r="O10" i="1"/>
  <c r="S10" i="1" s="1"/>
  <c r="O11" i="1"/>
  <c r="S11" i="1" s="1"/>
  <c r="O12" i="1"/>
  <c r="S12" i="1" s="1"/>
  <c r="O13" i="1"/>
  <c r="S13" i="1" s="1"/>
  <c r="O14" i="1"/>
  <c r="S14" i="1" s="1"/>
  <c r="O15" i="1"/>
  <c r="S15" i="1" s="1"/>
  <c r="O16" i="1"/>
  <c r="S16" i="1" s="1"/>
  <c r="O17" i="1"/>
  <c r="S17" i="1" s="1"/>
  <c r="O18" i="1"/>
  <c r="S18" i="1" s="1"/>
  <c r="O19" i="1"/>
  <c r="S19" i="1" s="1"/>
  <c r="O20" i="1"/>
  <c r="S20" i="1" s="1"/>
  <c r="O21" i="1"/>
  <c r="S21" i="1" s="1"/>
  <c r="O22" i="1"/>
  <c r="S22" i="1" s="1"/>
  <c r="O23" i="1"/>
  <c r="S23" i="1" s="1"/>
  <c r="O24" i="1"/>
  <c r="S24" i="1" s="1"/>
  <c r="O25" i="1"/>
  <c r="S25" i="1" s="1"/>
  <c r="O26" i="1"/>
  <c r="S26" i="1" s="1"/>
  <c r="O27" i="1"/>
  <c r="S27" i="1" s="1"/>
  <c r="O28" i="1"/>
  <c r="S28" i="1" s="1"/>
  <c r="O29" i="1"/>
  <c r="S29" i="1" s="1"/>
  <c r="O30" i="1"/>
  <c r="S30" i="1" s="1"/>
  <c r="O31" i="1"/>
  <c r="S31" i="1" s="1"/>
  <c r="O32" i="1"/>
  <c r="S32" i="1" s="1"/>
  <c r="O33" i="1"/>
  <c r="S33" i="1" s="1"/>
  <c r="O34" i="1"/>
  <c r="S34" i="1" s="1"/>
  <c r="O35" i="1"/>
  <c r="S35" i="1" s="1"/>
  <c r="O36" i="1"/>
  <c r="S36" i="1" s="1"/>
  <c r="O37" i="1"/>
  <c r="S37" i="1" s="1"/>
  <c r="O38" i="1"/>
  <c r="S38" i="1" s="1"/>
  <c r="O39" i="1"/>
  <c r="S39" i="1" s="1"/>
  <c r="O40" i="1"/>
  <c r="S40" i="1" s="1"/>
  <c r="O41" i="1"/>
  <c r="S41" i="1" s="1"/>
  <c r="O42" i="1"/>
  <c r="S42" i="1" s="1"/>
  <c r="O43" i="1"/>
  <c r="S43" i="1" s="1"/>
  <c r="O44" i="1"/>
  <c r="S44" i="1" s="1"/>
  <c r="O45" i="1"/>
  <c r="S45" i="1" s="1"/>
  <c r="O46" i="1"/>
  <c r="S46" i="1" s="1"/>
  <c r="O47" i="1"/>
  <c r="S47" i="1" s="1"/>
  <c r="O48" i="1"/>
  <c r="S48" i="1" s="1"/>
  <c r="O49" i="1"/>
  <c r="S49" i="1" s="1"/>
  <c r="O50" i="1"/>
  <c r="S50" i="1" s="1"/>
  <c r="O51" i="1"/>
  <c r="S51" i="1" s="1"/>
  <c r="O52" i="1"/>
  <c r="S52" i="1" s="1"/>
  <c r="O53" i="1"/>
  <c r="S53" i="1" s="1"/>
  <c r="O54" i="1"/>
  <c r="S54" i="1" s="1"/>
  <c r="O55" i="1"/>
  <c r="S55" i="1" s="1"/>
  <c r="O56" i="1"/>
  <c r="S56" i="1" s="1"/>
  <c r="O57" i="1"/>
  <c r="S57" i="1" s="1"/>
  <c r="O58" i="1"/>
  <c r="S58" i="1" s="1"/>
  <c r="O59" i="1"/>
  <c r="S59" i="1" s="1"/>
  <c r="O60" i="1"/>
  <c r="S60" i="1" s="1"/>
  <c r="O61" i="1"/>
  <c r="S61" i="1" s="1"/>
  <c r="O62" i="1"/>
  <c r="S62" i="1" s="1"/>
  <c r="O63" i="1"/>
  <c r="S63" i="1" s="1"/>
  <c r="O64" i="1"/>
  <c r="S64" i="1" s="1"/>
  <c r="O65" i="1"/>
  <c r="S65" i="1" s="1"/>
  <c r="O66" i="1"/>
  <c r="S66" i="1" s="1"/>
  <c r="O67" i="1"/>
  <c r="S67" i="1" s="1"/>
  <c r="O68" i="1"/>
  <c r="S68" i="1" s="1"/>
  <c r="O69" i="1"/>
  <c r="S69" i="1" s="1"/>
  <c r="O70" i="1"/>
  <c r="S70" i="1" s="1"/>
  <c r="O71" i="1"/>
  <c r="S71" i="1" s="1"/>
  <c r="O72" i="1"/>
  <c r="S72" i="1" s="1"/>
  <c r="O73" i="1"/>
  <c r="S73" i="1" s="1"/>
  <c r="O74" i="1"/>
  <c r="S74" i="1" s="1"/>
  <c r="O75" i="1"/>
  <c r="S75" i="1" s="1"/>
  <c r="O76" i="1"/>
  <c r="S76" i="1" s="1"/>
  <c r="O77" i="1"/>
  <c r="S77" i="1" s="1"/>
  <c r="O78" i="1"/>
  <c r="S78" i="1" s="1"/>
  <c r="O79" i="1"/>
  <c r="S79" i="1" s="1"/>
  <c r="O80" i="1"/>
  <c r="S80" i="1" s="1"/>
  <c r="O81" i="1"/>
  <c r="S81" i="1" s="1"/>
  <c r="O82" i="1"/>
  <c r="S82" i="1" s="1"/>
  <c r="O83" i="1"/>
  <c r="S83" i="1" s="1"/>
  <c r="O84" i="1"/>
  <c r="S84" i="1" s="1"/>
  <c r="O85" i="1"/>
  <c r="S85" i="1" s="1"/>
  <c r="O86" i="1"/>
  <c r="S86" i="1" s="1"/>
  <c r="O87" i="1"/>
  <c r="S87" i="1" s="1"/>
  <c r="O88" i="1"/>
  <c r="S88" i="1" s="1"/>
  <c r="O89" i="1"/>
  <c r="S89" i="1" s="1"/>
  <c r="O90" i="1"/>
  <c r="S90" i="1" s="1"/>
  <c r="O91" i="1"/>
  <c r="S91" i="1" s="1"/>
  <c r="O92" i="1"/>
  <c r="S92" i="1" s="1"/>
  <c r="O93" i="1"/>
  <c r="S93" i="1" s="1"/>
  <c r="O94" i="1"/>
  <c r="S94" i="1" s="1"/>
  <c r="O95" i="1"/>
  <c r="S95" i="1" s="1"/>
  <c r="O96" i="1"/>
  <c r="S96" i="1" s="1"/>
  <c r="O97" i="1"/>
  <c r="S97" i="1" s="1"/>
  <c r="O98" i="1"/>
  <c r="S98" i="1" s="1"/>
  <c r="O99" i="1"/>
  <c r="S99" i="1" s="1"/>
  <c r="O100" i="1"/>
  <c r="S100" i="1" s="1"/>
  <c r="O101" i="1"/>
  <c r="S101" i="1" s="1"/>
  <c r="O102" i="1"/>
  <c r="S102" i="1" s="1"/>
  <c r="O103" i="1"/>
  <c r="S103" i="1" s="1"/>
  <c r="O104" i="1"/>
  <c r="S104" i="1" s="1"/>
  <c r="O105" i="1"/>
  <c r="S105" i="1" s="1"/>
  <c r="O106" i="1"/>
  <c r="S106" i="1" s="1"/>
  <c r="O107" i="1"/>
  <c r="S107" i="1" s="1"/>
  <c r="O108" i="1"/>
  <c r="S108" i="1" s="1"/>
  <c r="O109" i="1"/>
  <c r="S109" i="1" s="1"/>
  <c r="O110" i="1"/>
  <c r="S110" i="1" s="1"/>
  <c r="O111" i="1"/>
  <c r="S111" i="1" s="1"/>
  <c r="O112" i="1"/>
  <c r="S112" i="1" s="1"/>
  <c r="O113" i="1"/>
  <c r="S113" i="1" s="1"/>
  <c r="O114" i="1"/>
  <c r="S114" i="1" s="1"/>
  <c r="O115" i="1"/>
  <c r="S115" i="1" s="1"/>
  <c r="O116" i="1"/>
  <c r="S116" i="1" s="1"/>
  <c r="O117" i="1"/>
  <c r="S117" i="1" s="1"/>
  <c r="O118" i="1"/>
  <c r="S118" i="1" s="1"/>
  <c r="O119" i="1"/>
  <c r="S119" i="1" s="1"/>
  <c r="O120" i="1"/>
  <c r="S120" i="1" s="1"/>
  <c r="O121" i="1"/>
  <c r="S121" i="1" s="1"/>
  <c r="O122" i="1"/>
  <c r="S122" i="1" s="1"/>
  <c r="O123" i="1"/>
  <c r="S123" i="1" s="1"/>
  <c r="O124" i="1"/>
  <c r="S124" i="1" s="1"/>
  <c r="O125" i="1"/>
  <c r="S125" i="1" s="1"/>
  <c r="O126" i="1"/>
  <c r="S126" i="1" s="1"/>
  <c r="O127" i="1"/>
  <c r="S127" i="1" s="1"/>
  <c r="O128" i="1"/>
  <c r="S128" i="1" s="1"/>
  <c r="O129" i="1"/>
  <c r="S129" i="1" s="1"/>
  <c r="O130" i="1"/>
  <c r="S130" i="1" s="1"/>
  <c r="O131" i="1"/>
  <c r="S131" i="1" s="1"/>
  <c r="O132" i="1"/>
  <c r="S132" i="1" s="1"/>
  <c r="O133" i="1"/>
  <c r="S133" i="1" s="1"/>
  <c r="O134" i="1"/>
  <c r="S134" i="1" s="1"/>
  <c r="O135" i="1"/>
  <c r="S135" i="1" s="1"/>
  <c r="O136" i="1"/>
  <c r="S136" i="1" s="1"/>
  <c r="O137" i="1"/>
  <c r="S137" i="1" s="1"/>
  <c r="O138" i="1"/>
  <c r="S138" i="1" s="1"/>
  <c r="O139" i="1"/>
  <c r="S139" i="1" s="1"/>
  <c r="O140" i="1"/>
  <c r="S140" i="1" s="1"/>
  <c r="O141" i="1"/>
  <c r="S141" i="1" s="1"/>
  <c r="O142" i="1"/>
  <c r="S142" i="1" s="1"/>
  <c r="O143" i="1"/>
  <c r="S143" i="1" s="1"/>
  <c r="O144" i="1"/>
  <c r="S144" i="1" s="1"/>
  <c r="O145" i="1"/>
  <c r="S145" i="1" s="1"/>
  <c r="O146" i="1"/>
  <c r="S146" i="1" s="1"/>
  <c r="O147" i="1"/>
  <c r="S147" i="1" s="1"/>
  <c r="O148" i="1"/>
  <c r="S148" i="1" s="1"/>
  <c r="O149" i="1"/>
  <c r="S149" i="1" s="1"/>
  <c r="O150" i="1"/>
  <c r="S150" i="1" s="1"/>
  <c r="O151" i="1"/>
  <c r="S151" i="1" s="1"/>
  <c r="O152" i="1"/>
  <c r="S152" i="1" s="1"/>
  <c r="O153" i="1"/>
  <c r="S153" i="1" s="1"/>
  <c r="O154" i="1"/>
  <c r="S154" i="1" s="1"/>
  <c r="O155" i="1"/>
  <c r="S155" i="1" s="1"/>
  <c r="O156" i="1"/>
  <c r="S156" i="1" s="1"/>
  <c r="O157" i="1"/>
  <c r="S157" i="1" s="1"/>
  <c r="O158" i="1"/>
  <c r="S158" i="1" s="1"/>
  <c r="O159" i="1"/>
  <c r="S159" i="1" s="1"/>
  <c r="O160" i="1"/>
  <c r="S160" i="1" s="1"/>
  <c r="O161" i="1"/>
  <c r="S161" i="1" s="1"/>
  <c r="O162" i="1"/>
  <c r="S162" i="1" s="1"/>
  <c r="O163" i="1"/>
  <c r="S163" i="1" s="1"/>
  <c r="O164" i="1"/>
  <c r="S164" i="1" s="1"/>
  <c r="O165" i="1"/>
  <c r="S165" i="1" s="1"/>
  <c r="O166" i="1"/>
  <c r="S166" i="1" s="1"/>
  <c r="O167" i="1"/>
  <c r="S167" i="1" s="1"/>
  <c r="O168" i="1"/>
  <c r="S168" i="1" s="1"/>
  <c r="O169" i="1"/>
  <c r="S169" i="1" s="1"/>
  <c r="O170" i="1"/>
  <c r="S170" i="1" s="1"/>
  <c r="O171" i="1"/>
  <c r="S171" i="1" s="1"/>
  <c r="O172" i="1"/>
  <c r="S172" i="1" s="1"/>
  <c r="O173" i="1"/>
  <c r="S173" i="1" s="1"/>
  <c r="O174" i="1"/>
  <c r="S174" i="1" s="1"/>
  <c r="O175" i="1"/>
  <c r="S175" i="1" s="1"/>
  <c r="O176" i="1"/>
  <c r="S176" i="1" s="1"/>
  <c r="O177" i="1"/>
  <c r="S177" i="1" s="1"/>
  <c r="O178" i="1"/>
  <c r="S178" i="1" s="1"/>
  <c r="O179" i="1"/>
  <c r="S179" i="1" s="1"/>
  <c r="O180" i="1"/>
  <c r="S180" i="1" s="1"/>
  <c r="O181" i="1"/>
  <c r="S181" i="1" s="1"/>
  <c r="O182" i="1"/>
  <c r="S182" i="1" s="1"/>
  <c r="O183" i="1"/>
  <c r="S183" i="1" s="1"/>
  <c r="O184" i="1"/>
  <c r="S184" i="1" s="1"/>
  <c r="O185" i="1"/>
  <c r="S185" i="1" s="1"/>
  <c r="O186" i="1"/>
  <c r="S186" i="1" s="1"/>
  <c r="O187" i="1"/>
  <c r="S187" i="1" s="1"/>
  <c r="O188" i="1"/>
  <c r="S188" i="1" s="1"/>
  <c r="O189" i="1"/>
  <c r="S189" i="1" s="1"/>
  <c r="O190" i="1"/>
  <c r="S190" i="1" s="1"/>
  <c r="O191" i="1"/>
  <c r="S191" i="1" s="1"/>
  <c r="O192" i="1"/>
  <c r="S192" i="1" s="1"/>
  <c r="O193" i="1"/>
  <c r="S193" i="1" s="1"/>
  <c r="O194" i="1"/>
  <c r="S194" i="1" s="1"/>
  <c r="O195" i="1"/>
  <c r="S195" i="1" s="1"/>
  <c r="O196" i="1"/>
  <c r="S196" i="1" s="1"/>
  <c r="O197" i="1"/>
  <c r="S197" i="1" s="1"/>
  <c r="O198" i="1"/>
  <c r="S198" i="1" s="1"/>
  <c r="O199" i="1"/>
  <c r="S199" i="1" s="1"/>
  <c r="O200" i="1"/>
  <c r="S200" i="1" s="1"/>
  <c r="O201" i="1"/>
  <c r="S201" i="1" s="1"/>
  <c r="O202" i="1"/>
  <c r="S202" i="1" s="1"/>
  <c r="O203" i="1"/>
  <c r="S203" i="1" s="1"/>
  <c r="O204" i="1"/>
  <c r="S204" i="1" s="1"/>
  <c r="O205" i="1"/>
  <c r="S205" i="1" s="1"/>
  <c r="O206" i="1"/>
  <c r="S206" i="1" s="1"/>
  <c r="O207" i="1"/>
  <c r="S207" i="1" s="1"/>
  <c r="O208" i="1"/>
  <c r="S208" i="1" s="1"/>
  <c r="O209" i="1"/>
  <c r="S209" i="1" s="1"/>
  <c r="O210" i="1"/>
  <c r="S210" i="1" s="1"/>
  <c r="O211" i="1"/>
  <c r="S211" i="1" s="1"/>
  <c r="O212" i="1"/>
  <c r="S212" i="1" s="1"/>
  <c r="O213" i="1"/>
  <c r="S213" i="1" s="1"/>
  <c r="O214" i="1"/>
  <c r="S214" i="1" s="1"/>
  <c r="O215" i="1"/>
  <c r="S215" i="1" s="1"/>
  <c r="O216" i="1"/>
  <c r="S216" i="1" s="1"/>
  <c r="O217" i="1"/>
  <c r="S217" i="1" s="1"/>
  <c r="O218" i="1"/>
  <c r="S218" i="1" s="1"/>
  <c r="O219" i="1"/>
  <c r="S219" i="1" s="1"/>
  <c r="O220" i="1"/>
  <c r="S220" i="1" s="1"/>
  <c r="O221" i="1"/>
  <c r="S221" i="1" s="1"/>
  <c r="O222" i="1"/>
  <c r="S222" i="1" s="1"/>
  <c r="O223" i="1"/>
  <c r="S223" i="1" s="1"/>
  <c r="O224" i="1"/>
  <c r="S224" i="1" s="1"/>
  <c r="O225" i="1"/>
  <c r="S225" i="1" s="1"/>
  <c r="O226" i="1"/>
  <c r="S226" i="1" s="1"/>
  <c r="O227" i="1"/>
  <c r="S227" i="1" s="1"/>
  <c r="O228" i="1"/>
  <c r="S228" i="1" s="1"/>
  <c r="O229" i="1"/>
  <c r="S229" i="1" s="1"/>
  <c r="O230" i="1"/>
  <c r="S230" i="1" s="1"/>
  <c r="O231" i="1"/>
  <c r="S231" i="1" s="1"/>
  <c r="O232" i="1"/>
  <c r="S232" i="1" s="1"/>
  <c r="O233" i="1"/>
  <c r="S233" i="1" s="1"/>
  <c r="O234" i="1"/>
  <c r="S234" i="1" s="1"/>
  <c r="O235" i="1"/>
  <c r="S235" i="1" s="1"/>
  <c r="O236" i="1"/>
  <c r="S236" i="1" s="1"/>
  <c r="O237" i="1"/>
  <c r="S237" i="1" s="1"/>
  <c r="O238" i="1"/>
  <c r="S238" i="1" s="1"/>
  <c r="O239" i="1"/>
  <c r="S239" i="1" s="1"/>
  <c r="O240" i="1"/>
  <c r="S240" i="1" s="1"/>
  <c r="O241" i="1"/>
  <c r="S241" i="1" s="1"/>
  <c r="O242" i="1"/>
  <c r="S242" i="1" s="1"/>
  <c r="O243" i="1"/>
  <c r="S243" i="1" s="1"/>
  <c r="O244" i="1"/>
  <c r="S244" i="1" s="1"/>
  <c r="O245" i="1"/>
  <c r="S245" i="1" s="1"/>
  <c r="O246" i="1"/>
  <c r="S246" i="1" s="1"/>
  <c r="O247" i="1"/>
  <c r="S247" i="1" s="1"/>
  <c r="O248" i="1"/>
  <c r="S248" i="1" s="1"/>
  <c r="O249" i="1"/>
  <c r="S249" i="1" s="1"/>
  <c r="O250" i="1"/>
  <c r="S250" i="1" s="1"/>
  <c r="O251" i="1"/>
  <c r="S251" i="1" s="1"/>
  <c r="O252" i="1"/>
  <c r="S252" i="1" s="1"/>
  <c r="O253" i="1"/>
  <c r="S253" i="1" s="1"/>
  <c r="O254" i="1"/>
  <c r="S254" i="1" s="1"/>
  <c r="O255" i="1"/>
  <c r="S255" i="1" s="1"/>
  <c r="O256" i="1"/>
  <c r="S256" i="1" s="1"/>
  <c r="O257" i="1"/>
  <c r="S257" i="1" s="1"/>
  <c r="O258" i="1"/>
  <c r="S258" i="1" s="1"/>
  <c r="O259" i="1"/>
  <c r="S259" i="1" s="1"/>
  <c r="O260" i="1"/>
  <c r="S260" i="1" s="1"/>
  <c r="O261" i="1"/>
  <c r="S261" i="1" s="1"/>
  <c r="O262" i="1"/>
  <c r="S262" i="1" s="1"/>
  <c r="O263" i="1"/>
  <c r="S263" i="1" s="1"/>
  <c r="O264" i="1"/>
  <c r="S264" i="1" s="1"/>
  <c r="O265" i="1"/>
  <c r="S265" i="1" s="1"/>
  <c r="O266" i="1"/>
  <c r="S266" i="1" s="1"/>
  <c r="O267" i="1"/>
  <c r="S267" i="1" s="1"/>
  <c r="O268" i="1"/>
  <c r="S268" i="1" s="1"/>
  <c r="O269" i="1"/>
  <c r="S269" i="1" s="1"/>
  <c r="O270" i="1"/>
  <c r="S270" i="1" s="1"/>
  <c r="O271" i="1"/>
  <c r="S271" i="1" s="1"/>
  <c r="O272" i="1"/>
  <c r="S272" i="1" s="1"/>
  <c r="O273" i="1"/>
  <c r="S273" i="1" s="1"/>
  <c r="O274" i="1"/>
  <c r="S274" i="1" s="1"/>
  <c r="O275" i="1"/>
  <c r="S275" i="1" s="1"/>
  <c r="O276" i="1"/>
  <c r="S276" i="1" s="1"/>
  <c r="O277" i="1"/>
  <c r="S277" i="1" s="1"/>
  <c r="O278" i="1"/>
  <c r="S278" i="1" s="1"/>
  <c r="O279" i="1"/>
  <c r="S279" i="1" s="1"/>
  <c r="O280" i="1"/>
  <c r="S280" i="1" s="1"/>
  <c r="O281" i="1"/>
  <c r="S281" i="1" s="1"/>
  <c r="O282" i="1"/>
  <c r="S282" i="1" s="1"/>
  <c r="O283" i="1"/>
  <c r="S283" i="1" s="1"/>
  <c r="O284" i="1"/>
  <c r="S284" i="1" s="1"/>
  <c r="O285" i="1"/>
  <c r="S285" i="1" s="1"/>
  <c r="O286" i="1"/>
  <c r="S286" i="1" s="1"/>
  <c r="O287" i="1"/>
  <c r="S287" i="1" s="1"/>
  <c r="O288" i="1"/>
  <c r="S288" i="1" s="1"/>
  <c r="O289" i="1"/>
  <c r="S289" i="1" s="1"/>
  <c r="O290" i="1"/>
  <c r="S290" i="1" s="1"/>
  <c r="O291" i="1"/>
  <c r="S291" i="1" s="1"/>
  <c r="O292" i="1"/>
  <c r="S292" i="1" s="1"/>
  <c r="O293" i="1"/>
  <c r="S293" i="1" s="1"/>
  <c r="O294" i="1"/>
  <c r="S294" i="1" s="1"/>
  <c r="O295" i="1"/>
  <c r="S295" i="1" s="1"/>
  <c r="O296" i="1"/>
  <c r="S296" i="1" s="1"/>
  <c r="O297" i="1"/>
  <c r="S297" i="1" s="1"/>
  <c r="O298" i="1"/>
  <c r="S298" i="1" s="1"/>
  <c r="O299" i="1"/>
  <c r="S299" i="1" s="1"/>
  <c r="O300" i="1"/>
  <c r="S300" i="1" s="1"/>
  <c r="O301" i="1"/>
  <c r="S301" i="1" s="1"/>
  <c r="R3" i="1"/>
  <c r="R4" i="1"/>
  <c r="R5" i="1"/>
  <c r="R6" i="1"/>
  <c r="R7" i="1"/>
  <c r="U7" i="1" s="1"/>
  <c r="R8" i="1"/>
  <c r="R9" i="1"/>
  <c r="R10" i="1"/>
  <c r="R11" i="1"/>
  <c r="U11" i="1" s="1"/>
  <c r="R12" i="1"/>
  <c r="R13" i="1"/>
  <c r="R14" i="1"/>
  <c r="R15" i="1"/>
  <c r="U15" i="1" s="1"/>
  <c r="R16" i="1"/>
  <c r="R17" i="1"/>
  <c r="R18" i="1"/>
  <c r="R19" i="1"/>
  <c r="U19" i="1" s="1"/>
  <c r="R20" i="1"/>
  <c r="R21" i="1"/>
  <c r="R22" i="1"/>
  <c r="R23" i="1"/>
  <c r="U23" i="1" s="1"/>
  <c r="R24" i="1"/>
  <c r="R25" i="1"/>
  <c r="R26" i="1"/>
  <c r="R27" i="1"/>
  <c r="U27" i="1" s="1"/>
  <c r="R28" i="1"/>
  <c r="R29" i="1"/>
  <c r="R30" i="1"/>
  <c r="R31" i="1"/>
  <c r="U31" i="1" s="1"/>
  <c r="R32" i="1"/>
  <c r="R33" i="1"/>
  <c r="R34" i="1"/>
  <c r="R35" i="1"/>
  <c r="U35" i="1" s="1"/>
  <c r="R36" i="1"/>
  <c r="R37" i="1"/>
  <c r="R38" i="1"/>
  <c r="R39" i="1"/>
  <c r="U39" i="1" s="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2" i="1"/>
  <c r="U3" i="1"/>
  <c r="A301"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2" i="1"/>
  <c r="AA3" i="1" l="1"/>
  <c r="AA2" i="1"/>
  <c r="U298" i="1"/>
  <c r="U294" i="1"/>
  <c r="U290" i="1"/>
  <c r="U286" i="1"/>
  <c r="U282" i="1"/>
  <c r="U278" i="1"/>
  <c r="U274" i="1"/>
  <c r="U270" i="1"/>
  <c r="U266" i="1"/>
  <c r="U262" i="1"/>
  <c r="U258" i="1"/>
  <c r="U254" i="1"/>
  <c r="U250" i="1"/>
  <c r="U246" i="1"/>
  <c r="U242" i="1"/>
  <c r="U238" i="1"/>
  <c r="U234" i="1"/>
  <c r="U230" i="1"/>
  <c r="U226" i="1"/>
  <c r="U222" i="1"/>
  <c r="U218" i="1"/>
  <c r="U214" i="1"/>
  <c r="U210" i="1"/>
  <c r="U206" i="1"/>
  <c r="U202" i="1"/>
  <c r="U198" i="1"/>
  <c r="U194" i="1"/>
  <c r="U190" i="1"/>
  <c r="U186" i="1"/>
  <c r="U182" i="1"/>
  <c r="U178" i="1"/>
  <c r="U174" i="1"/>
  <c r="U170" i="1"/>
  <c r="U166" i="1"/>
  <c r="U162" i="1"/>
  <c r="U158" i="1"/>
  <c r="U154" i="1"/>
  <c r="U150" i="1"/>
  <c r="U146" i="1"/>
  <c r="U142" i="1"/>
  <c r="U138" i="1"/>
  <c r="U134" i="1"/>
  <c r="U130" i="1"/>
  <c r="U126" i="1"/>
  <c r="U122" i="1"/>
  <c r="U118" i="1"/>
  <c r="U114" i="1"/>
  <c r="U110" i="1"/>
  <c r="U106" i="1"/>
  <c r="U102" i="1"/>
  <c r="U98" i="1"/>
  <c r="U94" i="1"/>
  <c r="U90" i="1"/>
  <c r="U86" i="1"/>
  <c r="U82" i="1"/>
  <c r="U78" i="1"/>
  <c r="U74" i="1"/>
  <c r="U70" i="1"/>
  <c r="U66" i="1"/>
  <c r="U62" i="1"/>
  <c r="U58" i="1"/>
  <c r="Q54" i="1"/>
  <c r="U50" i="1"/>
  <c r="U46" i="1"/>
  <c r="U42" i="1"/>
  <c r="U38" i="1"/>
  <c r="U34" i="1"/>
  <c r="U30" i="1"/>
  <c r="U26" i="1"/>
  <c r="U22" i="1"/>
  <c r="U18" i="1"/>
  <c r="U14" i="1"/>
  <c r="U10" i="1"/>
  <c r="U6" i="1"/>
  <c r="U2" i="1"/>
  <c r="U301" i="1"/>
  <c r="U297" i="1"/>
  <c r="U293" i="1"/>
  <c r="U289" i="1"/>
  <c r="U285" i="1"/>
  <c r="U281" i="1"/>
  <c r="U277" i="1"/>
  <c r="U273" i="1"/>
  <c r="U269" i="1"/>
  <c r="U265" i="1"/>
  <c r="U261" i="1"/>
  <c r="U257" i="1"/>
  <c r="U253" i="1"/>
  <c r="U249" i="1"/>
  <c r="U245" i="1"/>
  <c r="U241" i="1"/>
  <c r="U237" i="1"/>
  <c r="U233" i="1"/>
  <c r="U229" i="1"/>
  <c r="U225" i="1"/>
  <c r="U221" i="1"/>
  <c r="U217" i="1"/>
  <c r="U213" i="1"/>
  <c r="U209" i="1"/>
  <c r="U205" i="1"/>
  <c r="U201" i="1"/>
  <c r="U197" i="1"/>
  <c r="U193" i="1"/>
  <c r="U189" i="1"/>
  <c r="U185" i="1"/>
  <c r="U181" i="1"/>
  <c r="U177" i="1"/>
  <c r="U173" i="1"/>
  <c r="U169" i="1"/>
  <c r="U165" i="1"/>
  <c r="U161" i="1"/>
  <c r="U157" i="1"/>
  <c r="U153" i="1"/>
  <c r="U149" i="1"/>
  <c r="U145" i="1"/>
  <c r="U141" i="1"/>
  <c r="U137" i="1"/>
  <c r="U133" i="1"/>
  <c r="U129" i="1"/>
  <c r="U125" i="1"/>
  <c r="U121" i="1"/>
  <c r="U117" i="1"/>
  <c r="U113" i="1"/>
  <c r="U109" i="1"/>
  <c r="U105" i="1"/>
  <c r="U101" i="1"/>
  <c r="U97" i="1"/>
  <c r="U93" i="1"/>
  <c r="U89" i="1"/>
  <c r="U85" i="1"/>
  <c r="U81" i="1"/>
  <c r="U77" i="1"/>
  <c r="U73" i="1"/>
  <c r="U69" i="1"/>
  <c r="U65" i="1"/>
  <c r="U61" i="1"/>
  <c r="U57" i="1"/>
  <c r="U53" i="1"/>
  <c r="U49" i="1"/>
  <c r="U45" i="1"/>
  <c r="U41" i="1"/>
  <c r="U37" i="1"/>
  <c r="U33" i="1"/>
  <c r="U29" i="1"/>
  <c r="U25" i="1"/>
  <c r="U21" i="1"/>
  <c r="U17" i="1"/>
  <c r="U13" i="1"/>
  <c r="U9" i="1"/>
  <c r="U5" i="1"/>
  <c r="Q295" i="1"/>
  <c r="U295" i="1"/>
  <c r="Q283" i="1"/>
  <c r="U283" i="1"/>
  <c r="Q271" i="1"/>
  <c r="U271" i="1"/>
  <c r="Q259" i="1"/>
  <c r="U259" i="1"/>
  <c r="Q247" i="1"/>
  <c r="U247" i="1"/>
  <c r="Q235" i="1"/>
  <c r="U235" i="1"/>
  <c r="Q223" i="1"/>
  <c r="U223" i="1"/>
  <c r="Q211" i="1"/>
  <c r="U211" i="1"/>
  <c r="Q199" i="1"/>
  <c r="U199" i="1"/>
  <c r="Q187" i="1"/>
  <c r="U187" i="1"/>
  <c r="Q175" i="1"/>
  <c r="U175" i="1"/>
  <c r="Q163" i="1"/>
  <c r="U163" i="1"/>
  <c r="Q147" i="1"/>
  <c r="U147" i="1"/>
  <c r="Q131" i="1"/>
  <c r="U131" i="1"/>
  <c r="Q119" i="1"/>
  <c r="U119" i="1"/>
  <c r="Q107" i="1"/>
  <c r="U107" i="1"/>
  <c r="Q99" i="1"/>
  <c r="U99" i="1"/>
  <c r="Q87" i="1"/>
  <c r="U87" i="1"/>
  <c r="Q291" i="1"/>
  <c r="U291" i="1"/>
  <c r="Q279" i="1"/>
  <c r="U279" i="1"/>
  <c r="Q267" i="1"/>
  <c r="U267" i="1"/>
  <c r="Q255" i="1"/>
  <c r="U255" i="1"/>
  <c r="Q243" i="1"/>
  <c r="U243" i="1"/>
  <c r="Q231" i="1"/>
  <c r="U231" i="1"/>
  <c r="Q219" i="1"/>
  <c r="U219" i="1"/>
  <c r="Q207" i="1"/>
  <c r="U207" i="1"/>
  <c r="Q195" i="1"/>
  <c r="U195" i="1"/>
  <c r="Q183" i="1"/>
  <c r="U183" i="1"/>
  <c r="Q171" i="1"/>
  <c r="U171" i="1"/>
  <c r="Q159" i="1"/>
  <c r="U159" i="1"/>
  <c r="Q151" i="1"/>
  <c r="U151" i="1"/>
  <c r="Q139" i="1"/>
  <c r="U139" i="1"/>
  <c r="Q127" i="1"/>
  <c r="U127" i="1"/>
  <c r="Q115" i="1"/>
  <c r="U115" i="1"/>
  <c r="Q103" i="1"/>
  <c r="U103" i="1"/>
  <c r="Q91" i="1"/>
  <c r="U91" i="1"/>
  <c r="Q299" i="1"/>
  <c r="U299" i="1"/>
  <c r="Q287" i="1"/>
  <c r="U287" i="1"/>
  <c r="Q275" i="1"/>
  <c r="U275" i="1"/>
  <c r="Q263" i="1"/>
  <c r="U263" i="1"/>
  <c r="Q251" i="1"/>
  <c r="U251" i="1"/>
  <c r="Q239" i="1"/>
  <c r="U239" i="1"/>
  <c r="Q227" i="1"/>
  <c r="U227" i="1"/>
  <c r="Q215" i="1"/>
  <c r="U215" i="1"/>
  <c r="Q203" i="1"/>
  <c r="U203" i="1"/>
  <c r="Q191" i="1"/>
  <c r="U191" i="1"/>
  <c r="Q179" i="1"/>
  <c r="U179" i="1"/>
  <c r="Q167" i="1"/>
  <c r="U167" i="1"/>
  <c r="Q155" i="1"/>
  <c r="U155" i="1"/>
  <c r="Q143" i="1"/>
  <c r="U143" i="1"/>
  <c r="Q135" i="1"/>
  <c r="U135" i="1"/>
  <c r="Q123" i="1"/>
  <c r="U123" i="1"/>
  <c r="Q111" i="1"/>
  <c r="U111" i="1"/>
  <c r="Q95" i="1"/>
  <c r="U95" i="1"/>
  <c r="Q83" i="1"/>
  <c r="U83" i="1"/>
  <c r="Q300" i="1"/>
  <c r="U300" i="1"/>
  <c r="Q296" i="1"/>
  <c r="U296" i="1"/>
  <c r="Q292" i="1"/>
  <c r="U292" i="1"/>
  <c r="Q288" i="1"/>
  <c r="U288" i="1"/>
  <c r="Q284" i="1"/>
  <c r="U284" i="1"/>
  <c r="Q280" i="1"/>
  <c r="U280" i="1"/>
  <c r="Q276" i="1"/>
  <c r="U276" i="1"/>
  <c r="Q272" i="1"/>
  <c r="U272" i="1"/>
  <c r="Q268" i="1"/>
  <c r="U268" i="1"/>
  <c r="Q264" i="1"/>
  <c r="U264" i="1"/>
  <c r="Q260" i="1"/>
  <c r="U260" i="1"/>
  <c r="Q256" i="1"/>
  <c r="U256" i="1"/>
  <c r="Q252" i="1"/>
  <c r="U252" i="1"/>
  <c r="Q248" i="1"/>
  <c r="U248" i="1"/>
  <c r="Q244" i="1"/>
  <c r="U244" i="1"/>
  <c r="Q240" i="1"/>
  <c r="U240" i="1"/>
  <c r="Q236" i="1"/>
  <c r="U236" i="1"/>
  <c r="Q232" i="1"/>
  <c r="U232" i="1"/>
  <c r="Q228" i="1"/>
  <c r="U228" i="1"/>
  <c r="Q224" i="1"/>
  <c r="U224" i="1"/>
  <c r="Q220" i="1"/>
  <c r="U220" i="1"/>
  <c r="Q216" i="1"/>
  <c r="U216" i="1"/>
  <c r="Q212" i="1"/>
  <c r="U212" i="1"/>
  <c r="Q208" i="1"/>
  <c r="U208" i="1"/>
  <c r="Q204" i="1"/>
  <c r="U204" i="1"/>
  <c r="Q200" i="1"/>
  <c r="U200" i="1"/>
  <c r="Q196" i="1"/>
  <c r="U196" i="1"/>
  <c r="Q192" i="1"/>
  <c r="U192" i="1"/>
  <c r="Q188" i="1"/>
  <c r="U188" i="1"/>
  <c r="Q184" i="1"/>
  <c r="U184" i="1"/>
  <c r="Q180" i="1"/>
  <c r="U180" i="1"/>
  <c r="Q176" i="1"/>
  <c r="U176" i="1"/>
  <c r="Q172" i="1"/>
  <c r="U172" i="1"/>
  <c r="Q168" i="1"/>
  <c r="U168" i="1"/>
  <c r="Q164" i="1"/>
  <c r="U164" i="1"/>
  <c r="Q160" i="1"/>
  <c r="U160" i="1"/>
  <c r="Q156" i="1"/>
  <c r="U156" i="1"/>
  <c r="Q152" i="1"/>
  <c r="U152" i="1"/>
  <c r="Q148" i="1"/>
  <c r="U148" i="1"/>
  <c r="Q144" i="1"/>
  <c r="U144" i="1"/>
  <c r="Q140" i="1"/>
  <c r="U140" i="1"/>
  <c r="Q136" i="1"/>
  <c r="U136" i="1"/>
  <c r="Q132" i="1"/>
  <c r="U132" i="1"/>
  <c r="Q128" i="1"/>
  <c r="U128" i="1"/>
  <c r="Q124" i="1"/>
  <c r="U124" i="1"/>
  <c r="Q120" i="1"/>
  <c r="U120" i="1"/>
  <c r="Q116" i="1"/>
  <c r="U116" i="1"/>
  <c r="Q112" i="1"/>
  <c r="U112" i="1"/>
  <c r="Q108" i="1"/>
  <c r="U108" i="1"/>
  <c r="Q104" i="1"/>
  <c r="U104" i="1"/>
  <c r="Q100" i="1"/>
  <c r="U100" i="1"/>
  <c r="Q96" i="1"/>
  <c r="U96" i="1"/>
  <c r="Q92" i="1"/>
  <c r="U92" i="1"/>
  <c r="Q88" i="1"/>
  <c r="U88" i="1"/>
  <c r="Q84" i="1"/>
  <c r="U84" i="1"/>
  <c r="Q80" i="1"/>
  <c r="U80" i="1"/>
  <c r="Q76" i="1"/>
  <c r="U76" i="1"/>
  <c r="Q72" i="1"/>
  <c r="U72" i="1"/>
  <c r="Q68" i="1"/>
  <c r="U68" i="1"/>
  <c r="Q64" i="1"/>
  <c r="U64" i="1"/>
  <c r="Q60" i="1"/>
  <c r="U60" i="1"/>
  <c r="Q56" i="1"/>
  <c r="U56" i="1"/>
  <c r="Q52" i="1"/>
  <c r="U52" i="1"/>
  <c r="Q48" i="1"/>
  <c r="U48" i="1"/>
  <c r="Q44" i="1"/>
  <c r="U44" i="1"/>
  <c r="Q40" i="1"/>
  <c r="U40" i="1"/>
  <c r="Q36" i="1"/>
  <c r="U36" i="1"/>
  <c r="Q32" i="1"/>
  <c r="U32" i="1"/>
  <c r="Q28" i="1"/>
  <c r="U28" i="1"/>
  <c r="Q24" i="1"/>
  <c r="U24" i="1"/>
  <c r="Q20" i="1"/>
  <c r="U20" i="1"/>
  <c r="Q16" i="1"/>
  <c r="U16" i="1"/>
  <c r="Q12" i="1"/>
  <c r="U12" i="1"/>
  <c r="Q8" i="1"/>
  <c r="U8" i="1"/>
  <c r="Q4" i="1"/>
  <c r="U4" i="1"/>
  <c r="U54" i="1"/>
  <c r="Q79" i="1"/>
  <c r="Q75" i="1"/>
  <c r="Q71" i="1"/>
  <c r="Q67" i="1"/>
  <c r="Q63" i="1"/>
  <c r="Q59" i="1"/>
  <c r="Q55" i="1"/>
  <c r="Q51" i="1"/>
  <c r="Q47" i="1"/>
  <c r="Q43" i="1"/>
  <c r="U79" i="1"/>
  <c r="U75" i="1"/>
  <c r="U71" i="1"/>
  <c r="U67" i="1"/>
  <c r="U63" i="1"/>
  <c r="U59" i="1"/>
  <c r="U55" i="1"/>
  <c r="U51" i="1"/>
  <c r="U47" i="1"/>
  <c r="U43" i="1"/>
  <c r="Q301" i="1"/>
  <c r="Q297" i="1"/>
  <c r="Q293" i="1"/>
  <c r="Q289" i="1"/>
  <c r="Q285" i="1"/>
  <c r="Q281" i="1"/>
  <c r="Q277" i="1"/>
  <c r="Q273" i="1"/>
  <c r="Q269" i="1"/>
  <c r="Q265" i="1"/>
  <c r="Q261" i="1"/>
  <c r="Q257" i="1"/>
  <c r="Q253" i="1"/>
  <c r="Q249" i="1"/>
  <c r="Q245" i="1"/>
  <c r="Q241" i="1"/>
  <c r="Q237" i="1"/>
  <c r="Q233" i="1"/>
  <c r="Q229" i="1"/>
  <c r="Q225" i="1"/>
  <c r="Q221" i="1"/>
  <c r="Q217" i="1"/>
  <c r="Q213" i="1"/>
  <c r="Q209" i="1"/>
  <c r="Q205" i="1"/>
  <c r="Q201" i="1"/>
  <c r="Q197" i="1"/>
  <c r="Q193" i="1"/>
  <c r="Q189" i="1"/>
  <c r="Q185" i="1"/>
  <c r="Q181" i="1"/>
  <c r="Q177" i="1"/>
  <c r="Q173" i="1"/>
  <c r="Q169" i="1"/>
  <c r="Q165" i="1"/>
  <c r="Q161" i="1"/>
  <c r="Q157" i="1"/>
  <c r="Q153" i="1"/>
  <c r="Q149" i="1"/>
  <c r="Q145" i="1"/>
  <c r="Q141" i="1"/>
  <c r="Q137" i="1"/>
  <c r="Q133" i="1"/>
  <c r="Q129" i="1"/>
  <c r="Q125" i="1"/>
  <c r="Q121" i="1"/>
  <c r="Q117" i="1"/>
  <c r="Q113" i="1"/>
  <c r="Q109" i="1"/>
  <c r="Q105" i="1"/>
  <c r="Q101" i="1"/>
  <c r="Q97" i="1"/>
  <c r="Q93" i="1"/>
  <c r="Q89" i="1"/>
  <c r="Q85" i="1"/>
  <c r="Q81" i="1"/>
  <c r="Q77" i="1"/>
  <c r="Q73" i="1"/>
  <c r="Q69" i="1"/>
  <c r="Q65" i="1"/>
  <c r="Q61" i="1"/>
  <c r="Q57" i="1"/>
  <c r="Q53" i="1"/>
  <c r="Q49" i="1"/>
  <c r="Q45" i="1"/>
  <c r="Q41" i="1"/>
  <c r="Q37" i="1"/>
  <c r="Q33" i="1"/>
  <c r="Q29" i="1"/>
  <c r="Q25" i="1"/>
  <c r="Q21" i="1"/>
  <c r="Q17" i="1"/>
  <c r="Q13" i="1"/>
  <c r="Q9" i="1"/>
  <c r="Q5" i="1"/>
  <c r="Q134" i="1"/>
  <c r="Q118" i="1"/>
  <c r="Q39" i="1"/>
  <c r="Q35" i="1"/>
  <c r="Q31" i="1"/>
  <c r="Q27" i="1"/>
  <c r="Q23" i="1"/>
  <c r="Q19" i="1"/>
  <c r="Q15" i="1"/>
  <c r="Q11" i="1"/>
  <c r="Q7" i="1"/>
  <c r="Q3" i="1"/>
  <c r="Q298" i="1"/>
  <c r="Q294" i="1"/>
  <c r="Q290" i="1"/>
  <c r="Q286" i="1"/>
  <c r="Q282" i="1"/>
  <c r="Q278" i="1"/>
  <c r="Q274" i="1"/>
  <c r="Q270" i="1"/>
  <c r="Q266" i="1"/>
  <c r="Q262" i="1"/>
  <c r="Q258" i="1"/>
  <c r="Q254" i="1"/>
  <c r="Q250" i="1"/>
  <c r="Q246" i="1"/>
  <c r="Q242" i="1"/>
  <c r="Q238" i="1"/>
  <c r="Q234" i="1"/>
  <c r="Q230" i="1"/>
  <c r="Q226" i="1"/>
  <c r="Q222" i="1"/>
  <c r="Q218" i="1"/>
  <c r="Q214" i="1"/>
  <c r="Q210" i="1"/>
  <c r="Q206" i="1"/>
  <c r="Q202" i="1"/>
  <c r="Q198" i="1"/>
  <c r="Q194" i="1"/>
  <c r="Q190" i="1"/>
  <c r="Q186" i="1"/>
  <c r="Q182" i="1"/>
  <c r="Q178" i="1"/>
  <c r="Q174" i="1"/>
  <c r="Q170" i="1"/>
  <c r="Q166" i="1"/>
  <c r="Q162" i="1"/>
  <c r="Q158" i="1"/>
  <c r="Q154" i="1"/>
  <c r="Q150" i="1"/>
  <c r="Q146" i="1"/>
  <c r="Q142" i="1"/>
  <c r="Q138" i="1"/>
  <c r="Q130" i="1"/>
  <c r="Q126" i="1"/>
  <c r="Q122" i="1"/>
  <c r="Q114" i="1"/>
  <c r="Q110" i="1"/>
  <c r="Q106" i="1"/>
  <c r="Q102" i="1"/>
  <c r="Q98" i="1"/>
  <c r="Q94" i="1"/>
  <c r="Q90" i="1"/>
  <c r="Q86" i="1"/>
  <c r="Q82" i="1"/>
  <c r="Q78" i="1"/>
  <c r="Q74" i="1"/>
  <c r="Q70" i="1"/>
  <c r="Q66" i="1"/>
  <c r="Q62" i="1"/>
  <c r="Q58" i="1"/>
  <c r="Q50" i="1"/>
  <c r="Q46" i="1"/>
  <c r="Q42" i="1"/>
  <c r="Q38" i="1"/>
  <c r="Q34" i="1"/>
  <c r="Q30" i="1"/>
  <c r="Q26" i="1"/>
  <c r="Q22" i="1"/>
  <c r="Q18" i="1"/>
  <c r="Q14" i="1"/>
  <c r="Q10" i="1"/>
  <c r="Q6" i="1"/>
  <c r="O2" i="1"/>
  <c r="Q2" i="1" l="1"/>
  <c r="S2" i="1"/>
</calcChain>
</file>

<file path=xl/sharedStrings.xml><?xml version="1.0" encoding="utf-8"?>
<sst xmlns="http://schemas.openxmlformats.org/spreadsheetml/2006/main" count="676" uniqueCount="50">
  <si>
    <t>STUDENT ID</t>
  </si>
  <si>
    <t>GENDER</t>
  </si>
  <si>
    <t>AGE</t>
  </si>
  <si>
    <t>COURSE</t>
  </si>
  <si>
    <t>SEMESTER</t>
  </si>
  <si>
    <t>ATTENDENCE %</t>
  </si>
  <si>
    <t>STUDY HOURS</t>
  </si>
  <si>
    <t>ASSIGNMENT SCORE</t>
  </si>
  <si>
    <t>INTERNAL MARKS</t>
  </si>
  <si>
    <t>OVERALL %</t>
  </si>
  <si>
    <t>GRADE</t>
  </si>
  <si>
    <t>BACKLOGS</t>
  </si>
  <si>
    <t>PLACEMENT STATUS</t>
  </si>
  <si>
    <t>Male</t>
  </si>
  <si>
    <t>CIVIL</t>
  </si>
  <si>
    <t>Female</t>
  </si>
  <si>
    <t>CSE</t>
  </si>
  <si>
    <t>ME</t>
  </si>
  <si>
    <t>ECE</t>
  </si>
  <si>
    <t>Column1</t>
  </si>
  <si>
    <t>RESULT</t>
  </si>
  <si>
    <t>Row Labels</t>
  </si>
  <si>
    <t>Grand Total</t>
  </si>
  <si>
    <t>PERFORMANCE</t>
  </si>
  <si>
    <t>AVERAGE</t>
  </si>
  <si>
    <t>EXCELLENT</t>
  </si>
  <si>
    <t>GOOD</t>
  </si>
  <si>
    <t>POOR</t>
  </si>
  <si>
    <t>Count of STUDENT ID</t>
  </si>
  <si>
    <t>Column Labels</t>
  </si>
  <si>
    <t>Pass</t>
  </si>
  <si>
    <t>Fail</t>
  </si>
  <si>
    <t>NO</t>
  </si>
  <si>
    <t>YES</t>
  </si>
  <si>
    <t>SUBJECT</t>
  </si>
  <si>
    <t>DBMS</t>
  </si>
  <si>
    <t>MATHS</t>
  </si>
  <si>
    <t>PYTHON</t>
  </si>
  <si>
    <t>COMPUTER NETWORKS</t>
  </si>
  <si>
    <t>ENGLISH</t>
  </si>
  <si>
    <t>Sum of AVERAGE</t>
  </si>
  <si>
    <t>AVERAGE ATTENDENCE</t>
  </si>
  <si>
    <t>FINAL YEAR STUDENT PERFORMANCE ANALYSIS</t>
  </si>
  <si>
    <t>KPI</t>
  </si>
  <si>
    <t>TOTAL STUDENTS</t>
  </si>
  <si>
    <t>PLACED STUDENTS</t>
  </si>
  <si>
    <t>AVERAGE %</t>
  </si>
  <si>
    <t>VALUE</t>
  </si>
  <si>
    <t>PASSED</t>
  </si>
  <si>
    <t>FAILED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</si>
</sst>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sz val="36"/>
      <color theme="4" tint="0.59999389629810485"/>
      <name val="Bahnschrift SemiLight SemiConde"/>
      <family val="2"/>
    </font>
    <font>
      <sz val="36"/>
      <color theme="7" tint="0.39997558519241921"/>
      <name val="Bahnschrift SemiLight SemiConde"/>
      <family val="2"/>
    </font>
  </fonts>
  <fills count="6">
    <fill>
      <patternFill patternType="none"/>
    </fill>
    <fill>
      <patternFill patternType="gray125"/>
    </fill>
    <fill>
      <patternFill patternType="solid">
        <fgColor theme="8" tint="0.59999389629810485"/>
        <bgColor indexed="64"/>
      </patternFill>
    </fill>
    <fill>
      <patternFill patternType="solid">
        <fgColor theme="4" tint="0.79998168889431442"/>
        <bgColor theme="4" tint="0.79998168889431442"/>
      </patternFill>
    </fill>
    <fill>
      <patternFill patternType="solid">
        <fgColor theme="2" tint="-0.89999084444715716"/>
        <bgColor indexed="64"/>
      </patternFill>
    </fill>
    <fill>
      <patternFill patternType="solid">
        <fgColor theme="0" tint="-0.14999847407452621"/>
        <bgColor indexed="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21">
    <xf numFmtId="0" fontId="0" fillId="0" borderId="0" xfId="0"/>
    <xf numFmtId="0" fontId="0" fillId="0" borderId="1" xfId="0" applyBorder="1"/>
    <xf numFmtId="0" fontId="0" fillId="0" borderId="2" xfId="0" applyBorder="1"/>
    <xf numFmtId="0" fontId="0" fillId="0" borderId="0" xfId="0" pivotButton="1"/>
    <xf numFmtId="0" fontId="0" fillId="0" borderId="0" xfId="0" applyAlignment="1">
      <alignment horizontal="left"/>
    </xf>
    <xf numFmtId="0" fontId="0" fillId="0" borderId="4" xfId="0" applyBorder="1"/>
    <xf numFmtId="0" fontId="0" fillId="4" borderId="0" xfId="0" applyFill="1"/>
    <xf numFmtId="0" fontId="0" fillId="5" borderId="0" xfId="0" applyFill="1"/>
    <xf numFmtId="2" fontId="0" fillId="0" borderId="0" xfId="0" applyNumberFormat="1"/>
    <xf numFmtId="0" fontId="1" fillId="2" borderId="5" xfId="0" applyFont="1" applyFill="1" applyBorder="1"/>
    <xf numFmtId="0" fontId="1" fillId="2" borderId="3" xfId="0" applyFont="1" applyFill="1" applyBorder="1"/>
    <xf numFmtId="0" fontId="1" fillId="2" borderId="6" xfId="0" applyFont="1" applyFill="1" applyBorder="1"/>
    <xf numFmtId="0" fontId="0" fillId="3" borderId="5" xfId="0" applyFill="1" applyBorder="1"/>
    <xf numFmtId="0" fontId="0" fillId="3" borderId="3" xfId="0" applyFill="1" applyBorder="1"/>
    <xf numFmtId="0" fontId="0" fillId="3" borderId="6" xfId="0" applyFill="1" applyBorder="1"/>
    <xf numFmtId="0" fontId="0" fillId="0" borderId="5" xfId="0" applyBorder="1"/>
    <xf numFmtId="0" fontId="0" fillId="0" borderId="3" xfId="0" applyBorder="1"/>
    <xf numFmtId="0" fontId="0" fillId="0" borderId="6" xfId="0" applyBorder="1"/>
    <xf numFmtId="0" fontId="3" fillId="4" borderId="0" xfId="0" applyFont="1" applyFill="1" applyAlignment="1">
      <alignment horizontal="center"/>
    </xf>
    <xf numFmtId="0" fontId="2" fillId="4" borderId="0" xfId="0" applyFont="1" applyFill="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analysis.xlsx]PERFORMANCES!PivotTable2</c:name>
    <c:fmtId val="0"/>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t>FINAL YEAR</a:t>
            </a:r>
            <a:r>
              <a:rPr lang="en-US" sz="1600" baseline="0"/>
              <a:t> </a:t>
            </a:r>
            <a:r>
              <a:rPr lang="en-US" sz="1600"/>
              <a:t>STUDENT</a:t>
            </a:r>
            <a:r>
              <a:rPr lang="en-US" sz="1600" baseline="0"/>
              <a:t> PERFORMANCES</a:t>
            </a:r>
            <a:endParaRPr lang="en-US"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PERFORMANCES!$B$3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335-4DFE-8971-B75463AC6E4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335-4DFE-8971-B75463AC6E4B}"/>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335-4DFE-8971-B75463AC6E4B}"/>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335-4DFE-8971-B75463AC6E4B}"/>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7335-4DFE-8971-B75463AC6E4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PERFORMANCES!$A$4:$A$7</c:f>
              <c:strCache>
                <c:ptCount val="4"/>
                <c:pt idx="0">
                  <c:v>AVERAGE</c:v>
                </c:pt>
                <c:pt idx="1">
                  <c:v>EXCELLENT</c:v>
                </c:pt>
                <c:pt idx="2">
                  <c:v>GOOD</c:v>
                </c:pt>
                <c:pt idx="3">
                  <c:v>POOR</c:v>
                </c:pt>
              </c:strCache>
            </c:strRef>
          </c:cat>
          <c:val>
            <c:numRef>
              <c:f>PERFORMANCES!$B$4:$B$7</c:f>
              <c:numCache>
                <c:formatCode>General</c:formatCode>
                <c:ptCount val="4"/>
                <c:pt idx="0">
                  <c:v>141</c:v>
                </c:pt>
                <c:pt idx="1">
                  <c:v>9</c:v>
                </c:pt>
                <c:pt idx="2">
                  <c:v>149</c:v>
                </c:pt>
                <c:pt idx="3">
                  <c:v>1</c:v>
                </c:pt>
              </c:numCache>
            </c:numRef>
          </c:val>
          <c:extLst>
            <c:ext xmlns:c16="http://schemas.microsoft.com/office/drawing/2014/chart" uri="{C3380CC4-5D6E-409C-BE32-E72D297353CC}">
              <c16:uniqueId val="{00000004-0A2F-486E-940C-1BEFAD16F24E}"/>
            </c:ext>
          </c:extLst>
        </c:ser>
        <c:dLbls>
          <c:dLblPos val="outEnd"/>
          <c:showLegendKey val="0"/>
          <c:showVal val="1"/>
          <c:showCatName val="0"/>
          <c:showSerName val="0"/>
          <c:showPercent val="0"/>
          <c:showBubbleSize val="0"/>
          <c:showLeaderLines val="1"/>
        </c:dLbls>
      </c:pie3D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analysis.xlsx]MALE VS FEMALE!PivotTable3</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MALE VS FEMALE STUDENTSl</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'MALE VS FEMALE'!$B$3</c:f>
              <c:strCache>
                <c:ptCount val="1"/>
                <c:pt idx="0">
                  <c:v>Total</c:v>
                </c:pt>
              </c:strCache>
            </c:strRef>
          </c:tx>
          <c:spPr>
            <a:solidFill>
              <a:schemeClr val="accent1"/>
            </a:solidFill>
            <a:ln>
              <a:noFill/>
            </a:ln>
            <a:effectLst/>
          </c:spPr>
          <c:invertIfNegative val="0"/>
          <c:cat>
            <c:strRef>
              <c:f>'MALE VS FEMALE'!$A$4:$A$6</c:f>
              <c:strCache>
                <c:ptCount val="2"/>
                <c:pt idx="0">
                  <c:v>Female</c:v>
                </c:pt>
                <c:pt idx="1">
                  <c:v>Male</c:v>
                </c:pt>
              </c:strCache>
            </c:strRef>
          </c:cat>
          <c:val>
            <c:numRef>
              <c:f>'MALE VS FEMALE'!$B$4:$B$6</c:f>
              <c:numCache>
                <c:formatCode>General</c:formatCode>
                <c:ptCount val="2"/>
                <c:pt idx="0">
                  <c:v>142</c:v>
                </c:pt>
                <c:pt idx="1">
                  <c:v>158</c:v>
                </c:pt>
              </c:numCache>
            </c:numRef>
          </c:val>
          <c:extLst>
            <c:ext xmlns:c16="http://schemas.microsoft.com/office/drawing/2014/chart" uri="{C3380CC4-5D6E-409C-BE32-E72D297353CC}">
              <c16:uniqueId val="{00000000-50D2-47B0-8A81-9E8FC8A97A4C}"/>
            </c:ext>
          </c:extLst>
        </c:ser>
        <c:dLbls>
          <c:showLegendKey val="0"/>
          <c:showVal val="0"/>
          <c:showCatName val="0"/>
          <c:showSerName val="0"/>
          <c:showPercent val="0"/>
          <c:showBubbleSize val="0"/>
        </c:dLbls>
        <c:gapWidth val="150"/>
        <c:axId val="80293968"/>
        <c:axId val="80310768"/>
      </c:barChart>
      <c:catAx>
        <c:axId val="80293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80310768"/>
        <c:crosses val="autoZero"/>
        <c:auto val="1"/>
        <c:lblAlgn val="ctr"/>
        <c:lblOffset val="100"/>
        <c:noMultiLvlLbl val="0"/>
      </c:catAx>
      <c:valAx>
        <c:axId val="8031076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93968"/>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analysis.xlsx]PASS VS FAIL!PivotTable4</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PASS VS FAIL STUDENTS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lumMod val="9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9166666666666668"/>
              <c:y val="-2.777777777777777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391B87F-3659-4FAC-BDC8-21A04BDA05E7}" type="CATEGORYNAME">
                  <a:rPr lang="en-US" sz="1100" b="1"/>
                  <a:pPr>
                    <a:defRPr/>
                  </a:pPr>
                  <a:t>[CATEGORY NAME]</a:t>
                </a:fld>
                <a:r>
                  <a:rPr lang="en-US" sz="1100" b="1" baseline="0"/>
                  <a:t>
</a:t>
                </a:r>
                <a:fld id="{B557F8D3-39DD-4C46-83ED-E615C03142B4}" type="PERCENTAGE">
                  <a:rPr lang="en-US" sz="1100" b="1" baseline="0"/>
                  <a:pPr>
                    <a:defRPr/>
                  </a:pPr>
                  <a:t>[PERCENTAGE]</a:t>
                </a:fld>
                <a:endParaRPr lang="en-US" sz="1100" b="1" baseline="0"/>
              </a:p>
            </c:rich>
          </c:tx>
          <c:spPr>
            <a:solidFill>
              <a:sysClr val="window" lastClr="FFFFFF">
                <a:lumMod val="9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8888888888888888"/>
              <c:y val="-4.629629629629629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CA739D0-FF25-4B53-8B00-FB3460248D05}" type="CATEGORYNAME">
                  <a:rPr lang="en-US" sz="1050" b="1"/>
                  <a:pPr>
                    <a:defRPr/>
                  </a:pPr>
                  <a:t>[CATEGORY NAME]</a:t>
                </a:fld>
                <a:r>
                  <a:rPr lang="en-US" sz="1050" b="1" baseline="0"/>
                  <a:t>
</a:t>
                </a:r>
                <a:fld id="{EAD5500E-70AD-4DD8-B41B-71E45146EEDE}" type="PERCENTAGE">
                  <a:rPr lang="en-US" sz="1050" b="1" baseline="0"/>
                  <a:pPr>
                    <a:defRPr/>
                  </a:pPr>
                  <a:t>[PERCENTAGE]</a:t>
                </a:fld>
                <a:endParaRPr lang="en-US" sz="1050" b="1" baseline="0"/>
              </a:p>
            </c:rich>
          </c:tx>
          <c:spPr>
            <a:solidFill>
              <a:sysClr val="window" lastClr="FFFFFF">
                <a:lumMod val="9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doughnutChart>
        <c:varyColors val="1"/>
        <c:ser>
          <c:idx val="0"/>
          <c:order val="0"/>
          <c:tx>
            <c:strRef>
              <c:f>'PASS VS FAIL'!$B$3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D7D-4F37-8AEC-752B71CEC32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9D7D-4F37-8AEC-752B71CEC32A}"/>
              </c:ext>
            </c:extLst>
          </c:dPt>
          <c:dLbls>
            <c:dLbl>
              <c:idx val="0"/>
              <c:layout>
                <c:manualLayout>
                  <c:x val="0.18888888888888888"/>
                  <c:y val="-4.629629629629629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CA739D0-FF25-4B53-8B00-FB3460248D05}" type="CATEGORYNAME">
                      <a:rPr lang="en-US" sz="1050" b="1"/>
                      <a:pPr>
                        <a:defRPr/>
                      </a:pPr>
                      <a:t>[CATEGORY NAME]</a:t>
                    </a:fld>
                    <a:r>
                      <a:rPr lang="en-US" sz="1050" b="1" baseline="0"/>
                      <a:t>
</a:t>
                    </a:r>
                    <a:fld id="{EAD5500E-70AD-4DD8-B41B-71E45146EEDE}" type="PERCENTAGE">
                      <a:rPr lang="en-US" sz="1050" b="1" baseline="0"/>
                      <a:pPr>
                        <a:defRPr/>
                      </a:pPr>
                      <a:t>[PERCENTAGE]</a:t>
                    </a:fld>
                    <a:endParaRPr lang="en-US" sz="1050" b="1" baseline="0"/>
                  </a:p>
                </c:rich>
              </c:tx>
              <c:spPr>
                <a:solidFill>
                  <a:sysClr val="window" lastClr="FFFFFF">
                    <a:lumMod val="9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9D7D-4F37-8AEC-752B71CEC32A}"/>
                </c:ext>
              </c:extLst>
            </c:dLbl>
            <c:dLbl>
              <c:idx val="1"/>
              <c:layout>
                <c:manualLayout>
                  <c:x val="-0.19166666666666668"/>
                  <c:y val="-2.777777777777777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391B87F-3659-4FAC-BDC8-21A04BDA05E7}" type="CATEGORYNAME">
                      <a:rPr lang="en-US" sz="1100" b="1"/>
                      <a:pPr>
                        <a:defRPr/>
                      </a:pPr>
                      <a:t>[CATEGORY NAME]</a:t>
                    </a:fld>
                    <a:r>
                      <a:rPr lang="en-US" sz="1100" b="1" baseline="0"/>
                      <a:t>
</a:t>
                    </a:r>
                    <a:fld id="{B557F8D3-39DD-4C46-83ED-E615C03142B4}" type="PERCENTAGE">
                      <a:rPr lang="en-US" sz="1100" b="1" baseline="0"/>
                      <a:pPr>
                        <a:defRPr/>
                      </a:pPr>
                      <a:t>[PERCENTAGE]</a:t>
                    </a:fld>
                    <a:endParaRPr lang="en-US" sz="1100" b="1" baseline="0"/>
                  </a:p>
                </c:rich>
              </c:tx>
              <c:spPr>
                <a:solidFill>
                  <a:sysClr val="window" lastClr="FFFFFF">
                    <a:lumMod val="9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2-9D7D-4F37-8AEC-752B71CEC32A}"/>
                </c:ext>
              </c:extLst>
            </c:dLbl>
            <c:spPr>
              <a:solidFill>
                <a:sysClr val="window" lastClr="FFFFFF">
                  <a:lumMod val="9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'PASS VS FAIL'!$A$4:$A$6</c:f>
              <c:strCache>
                <c:ptCount val="2"/>
                <c:pt idx="0">
                  <c:v>Fail</c:v>
                </c:pt>
                <c:pt idx="1">
                  <c:v>Pass</c:v>
                </c:pt>
              </c:strCache>
            </c:strRef>
          </c:cat>
          <c:val>
            <c:numRef>
              <c:f>'PASS VS FAIL'!$B$4:$B$6</c:f>
              <c:numCache>
                <c:formatCode>General</c:formatCode>
                <c:ptCount val="2"/>
                <c:pt idx="0">
                  <c:v>221</c:v>
                </c:pt>
                <c:pt idx="1">
                  <c:v>79</c:v>
                </c:pt>
              </c:numCache>
            </c:numRef>
          </c:val>
          <c:extLst>
            <c:ext xmlns:c16="http://schemas.microsoft.com/office/drawing/2014/chart" uri="{C3380CC4-5D6E-409C-BE32-E72D297353CC}">
              <c16:uniqueId val="{00000000-9D7D-4F37-8AEC-752B71CEC32A}"/>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analysis.xlsx]BACKLOGS!PivotTable5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BACKLOGS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BACKLOGS!$B$3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BACKLOGS!$A$4:$A$9</c:f>
              <c:strCache>
                <c:ptCount val="5"/>
                <c:pt idx="0">
                  <c:v>0</c:v>
                </c:pt>
                <c:pt idx="1">
                  <c:v>1</c:v>
                </c:pt>
                <c:pt idx="2">
                  <c:v>2</c:v>
                </c:pt>
                <c:pt idx="3">
                  <c:v>3</c:v>
                </c:pt>
                <c:pt idx="4">
                  <c:v>4</c:v>
                </c:pt>
              </c:strCache>
            </c:strRef>
          </c:cat>
          <c:val>
            <c:numRef>
              <c:f>BACKLOGS!$B$4:$B$9</c:f>
              <c:numCache>
                <c:formatCode>General</c:formatCode>
                <c:ptCount val="5"/>
                <c:pt idx="0">
                  <c:v>79</c:v>
                </c:pt>
                <c:pt idx="1">
                  <c:v>140</c:v>
                </c:pt>
                <c:pt idx="2">
                  <c:v>65</c:v>
                </c:pt>
                <c:pt idx="3">
                  <c:v>15</c:v>
                </c:pt>
                <c:pt idx="4">
                  <c:v>1</c:v>
                </c:pt>
              </c:numCache>
            </c:numRef>
          </c:val>
          <c:smooth val="0"/>
          <c:extLst>
            <c:ext xmlns:c16="http://schemas.microsoft.com/office/drawing/2014/chart" uri="{C3380CC4-5D6E-409C-BE32-E72D297353CC}">
              <c16:uniqueId val="{00000000-8651-4F27-8232-6AED36F81139}"/>
            </c:ext>
          </c:extLst>
        </c:ser>
        <c:dLbls>
          <c:dLblPos val="t"/>
          <c:showLegendKey val="0"/>
          <c:showVal val="1"/>
          <c:showCatName val="0"/>
          <c:showSerName val="0"/>
          <c:showPercent val="0"/>
          <c:showBubbleSize val="0"/>
        </c:dLbls>
        <c:marker val="1"/>
        <c:smooth val="0"/>
        <c:axId val="224568400"/>
        <c:axId val="224572720"/>
      </c:lineChart>
      <c:catAx>
        <c:axId val="22456840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NO. OF BACKLOG</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72720"/>
        <c:crosses val="autoZero"/>
        <c:auto val="1"/>
        <c:lblAlgn val="ctr"/>
        <c:lblOffset val="100"/>
        <c:noMultiLvlLbl val="0"/>
      </c:catAx>
      <c:valAx>
        <c:axId val="224572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STUDENTS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6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analysis.xlsx]PLACEMENTS!PivotTable6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PLACEMENT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PLACEMENTS!$B$3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PLACEMENTS!$A$4:$A$6</c:f>
              <c:strCache>
                <c:ptCount val="2"/>
                <c:pt idx="0">
                  <c:v>NO</c:v>
                </c:pt>
                <c:pt idx="1">
                  <c:v>YES</c:v>
                </c:pt>
              </c:strCache>
            </c:strRef>
          </c:cat>
          <c:val>
            <c:numRef>
              <c:f>PLACEMENTS!$B$4:$B$6</c:f>
              <c:numCache>
                <c:formatCode>General</c:formatCode>
                <c:ptCount val="2"/>
                <c:pt idx="0">
                  <c:v>221</c:v>
                </c:pt>
                <c:pt idx="1">
                  <c:v>79</c:v>
                </c:pt>
              </c:numCache>
            </c:numRef>
          </c:val>
          <c:extLst>
            <c:ext xmlns:c16="http://schemas.microsoft.com/office/drawing/2014/chart" uri="{C3380CC4-5D6E-409C-BE32-E72D297353CC}">
              <c16:uniqueId val="{00000000-19C4-4324-9852-A4BAD6A4A08E}"/>
            </c:ext>
          </c:extLst>
        </c:ser>
        <c:dLbls>
          <c:dLblPos val="outEnd"/>
          <c:showLegendKey val="0"/>
          <c:showVal val="1"/>
          <c:showCatName val="0"/>
          <c:showSerName val="0"/>
          <c:showPercent val="0"/>
          <c:showBubbleSize val="0"/>
        </c:dLbls>
        <c:gapWidth val="115"/>
        <c:overlap val="-20"/>
        <c:axId val="224595280"/>
        <c:axId val="224588080"/>
      </c:barChart>
      <c:catAx>
        <c:axId val="2245952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4588080"/>
        <c:crosses val="autoZero"/>
        <c:auto val="1"/>
        <c:lblAlgn val="ctr"/>
        <c:lblOffset val="100"/>
        <c:noMultiLvlLbl val="0"/>
      </c:catAx>
      <c:valAx>
        <c:axId val="22458808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459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analysis.xlsx]EACH SUBJECT!PivotTable9</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PERFORMANCE OF STUDENTS IN EACH SUBJECT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'EACH SUBJECT'!$B$3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'EACH SUBJECT'!$A$4:$A$9</c:f>
              <c:strCache>
                <c:ptCount val="5"/>
                <c:pt idx="0">
                  <c:v>COMPUTER NETWORKS</c:v>
                </c:pt>
                <c:pt idx="1">
                  <c:v>DBMS</c:v>
                </c:pt>
                <c:pt idx="2">
                  <c:v>ENGLISH</c:v>
                </c:pt>
                <c:pt idx="3">
                  <c:v>MATHS</c:v>
                </c:pt>
                <c:pt idx="4">
                  <c:v>PYTHON</c:v>
                </c:pt>
              </c:strCache>
            </c:strRef>
          </c:cat>
          <c:val>
            <c:numRef>
              <c:f>'EACH SUBJECT'!$B$4:$B$9</c:f>
              <c:numCache>
                <c:formatCode>General</c:formatCode>
                <c:ptCount val="5"/>
                <c:pt idx="0">
                  <c:v>76.266666666666666</c:v>
                </c:pt>
                <c:pt idx="1">
                  <c:v>54.176666666666669</c:v>
                </c:pt>
                <c:pt idx="2">
                  <c:v>66.663333333333327</c:v>
                </c:pt>
                <c:pt idx="3">
                  <c:v>49.39</c:v>
                </c:pt>
                <c:pt idx="4">
                  <c:v>59.413333333333334</c:v>
                </c:pt>
              </c:numCache>
            </c:numRef>
          </c:val>
          <c:extLst>
            <c:ext xmlns:c16="http://schemas.microsoft.com/office/drawing/2014/chart" uri="{C3380CC4-5D6E-409C-BE32-E72D297353CC}">
              <c16:uniqueId val="{00000000-9549-4967-99AF-A4D61B27DA35}"/>
            </c:ext>
          </c:extLst>
        </c:ser>
        <c:dLbls>
          <c:showLegendKey val="0"/>
          <c:showVal val="1"/>
          <c:showCatName val="0"/>
          <c:showSerName val="0"/>
          <c:showPercent val="0"/>
          <c:showBubbleSize val="0"/>
        </c:dLbls>
        <c:gapWidth val="150"/>
        <c:gapDepth val="0"/>
        <c:shape val="box"/>
        <c:axId val="224586640"/>
        <c:axId val="224570320"/>
        <c:axId val="232573360"/>
      </c:bar3DChart>
      <c:catAx>
        <c:axId val="22458664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SUBJECTS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70320"/>
        <c:crosses val="autoZero"/>
        <c:auto val="1"/>
        <c:lblAlgn val="ctr"/>
        <c:lblOffset val="100"/>
        <c:noMultiLvlLbl val="0"/>
      </c:catAx>
      <c:valAx>
        <c:axId val="224570320"/>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AVERAGE MARKS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86640"/>
        <c:crosses val="autoZero"/>
        <c:crossBetween val="between"/>
      </c:valAx>
      <c:serAx>
        <c:axId val="232573360"/>
        <c:scaling>
          <c:orientation val="minMax"/>
        </c:scaling>
        <c:delete val="1"/>
        <c:axPos val="b"/>
        <c:majorTickMark val="none"/>
        <c:minorTickMark val="none"/>
        <c:tickLblPos val="nextTo"/>
        <c:crossAx val="22457032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analysis.xlsx]MALE VS FEMALE PLACEMENT!PivotTable13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MALE VS FEMALE PLACEMENT 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9444444444444344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3333333333333332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5000000000000001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9444444444444445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'MALE VS FEMALE PLACEMENT'!$B$3:$B$4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6-E627-4DDC-B558-8CEC1502D49F}"/>
              </c:ext>
            </c:extLst>
          </c:dPt>
          <c:dPt>
            <c:idx val="1"/>
            <c:invertIfNegative val="0"/>
            <c:bubble3D val="0"/>
            <c:extLst>
              <c:ext xmlns:c16="http://schemas.microsoft.com/office/drawing/2014/chart" uri="{C3380CC4-5D6E-409C-BE32-E72D297353CC}">
                <c16:uniqueId val="{00000004-E627-4DDC-B558-8CEC1502D49F}"/>
              </c:ext>
            </c:extLst>
          </c:dPt>
          <c:dLbls>
            <c:dLbl>
              <c:idx val="0"/>
              <c:layout>
                <c:manualLayout>
                  <c:x val="1.9444444444444445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27-4DDC-B558-8CEC1502D49F}"/>
                </c:ext>
              </c:extLst>
            </c:dLbl>
            <c:dLbl>
              <c:idx val="1"/>
              <c:layout>
                <c:manualLayout>
                  <c:x val="8.3333333333333332E-3"/>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27-4DDC-B558-8CEC1502D4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'MALE VS FEMALE PLACEMENT'!$A$5:$A$6</c:f>
              <c:strCache>
                <c:ptCount val="2"/>
                <c:pt idx="0">
                  <c:v>Female</c:v>
                </c:pt>
                <c:pt idx="1">
                  <c:v>Male</c:v>
                </c:pt>
              </c:strCache>
            </c:strRef>
          </c:cat>
          <c:val>
            <c:numRef>
              <c:f>'MALE VS FEMALE PLACEMENT'!$B$5:$B$6</c:f>
              <c:numCache>
                <c:formatCode>General</c:formatCode>
                <c:ptCount val="2"/>
                <c:pt idx="0">
                  <c:v>107</c:v>
                </c:pt>
                <c:pt idx="1">
                  <c:v>114</c:v>
                </c:pt>
              </c:numCache>
            </c:numRef>
          </c:val>
          <c:extLst>
            <c:ext xmlns:c16="http://schemas.microsoft.com/office/drawing/2014/chart" uri="{C3380CC4-5D6E-409C-BE32-E72D297353CC}">
              <c16:uniqueId val="{00000000-E627-4DDC-B558-8CEC1502D49F}"/>
            </c:ext>
          </c:extLst>
        </c:ser>
        <c:ser>
          <c:idx val="1"/>
          <c:order val="1"/>
          <c:tx>
            <c:strRef>
              <c:f>'MALE VS FEMALE PLACEMENT'!$C$3:$C$4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5-E627-4DDC-B558-8CEC1502D49F}"/>
              </c:ext>
            </c:extLst>
          </c:dPt>
          <c:dPt>
            <c:idx val="1"/>
            <c:invertIfNegative val="0"/>
            <c:bubble3D val="0"/>
            <c:extLst>
              <c:ext xmlns:c16="http://schemas.microsoft.com/office/drawing/2014/chart" uri="{C3380CC4-5D6E-409C-BE32-E72D297353CC}">
                <c16:uniqueId val="{00000003-E627-4DDC-B558-8CEC1502D49F}"/>
              </c:ext>
            </c:extLst>
          </c:dPt>
          <c:dLbls>
            <c:dLbl>
              <c:idx val="0"/>
              <c:layout>
                <c:manualLayout>
                  <c:x val="2.5000000000000001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27-4DDC-B558-8CEC1502D49F}"/>
                </c:ext>
              </c:extLst>
            </c:dLbl>
            <c:dLbl>
              <c:idx val="1"/>
              <c:layout>
                <c:manualLayout>
                  <c:x val="1.9444444444444344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27-4DDC-B558-8CEC1502D4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'MALE VS FEMALE PLACEMENT'!$A$5:$A$6</c:f>
              <c:strCache>
                <c:ptCount val="2"/>
                <c:pt idx="0">
                  <c:v>Female</c:v>
                </c:pt>
                <c:pt idx="1">
                  <c:v>Male</c:v>
                </c:pt>
              </c:strCache>
            </c:strRef>
          </c:cat>
          <c:val>
            <c:numRef>
              <c:f>'MALE VS FEMALE PLACEMENT'!$C$5:$C$6</c:f>
              <c:numCache>
                <c:formatCode>General</c:formatCode>
                <c:ptCount val="2"/>
                <c:pt idx="0">
                  <c:v>35</c:v>
                </c:pt>
                <c:pt idx="1">
                  <c:v>44</c:v>
                </c:pt>
              </c:numCache>
            </c:numRef>
          </c:val>
          <c:extLst>
            <c:ext xmlns:c16="http://schemas.microsoft.com/office/drawing/2014/chart" uri="{C3380CC4-5D6E-409C-BE32-E72D297353CC}">
              <c16:uniqueId val="{00000001-E627-4DDC-B558-8CEC1502D49F}"/>
            </c:ext>
          </c:extLst>
        </c:ser>
        <c:dLbls>
          <c:showLegendKey val="0"/>
          <c:showVal val="1"/>
          <c:showCatName val="0"/>
          <c:showSerName val="0"/>
          <c:showPercent val="0"/>
          <c:showBubbleSize val="0"/>
        </c:dLbls>
        <c:gapWidth val="150"/>
        <c:shape val="box"/>
        <c:axId val="80304048"/>
        <c:axId val="80304528"/>
        <c:axId val="0"/>
      </c:bar3DChart>
      <c:catAx>
        <c:axId val="80304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304528"/>
        <c:crosses val="autoZero"/>
        <c:auto val="1"/>
        <c:lblAlgn val="ctr"/>
        <c:lblOffset val="100"/>
        <c:noMultiLvlLbl val="0"/>
      </c:catAx>
      <c:valAx>
        <c:axId val="8030452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30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analysis.xlsx]PERFORMANCES!PivotTable2</c:name>
    <c:fmtId val="4"/>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t>FINAL YEAR</a:t>
            </a:r>
            <a:r>
              <a:rPr lang="en-US" sz="1600" baseline="0"/>
              <a:t> </a:t>
            </a:r>
            <a:r>
              <a:rPr lang="en-US" sz="1600"/>
              <a:t>STUDENT</a:t>
            </a:r>
            <a:r>
              <a:rPr lang="en-US" sz="1600" baseline="0"/>
              <a:t> PERFORMANCES</a:t>
            </a:r>
            <a:endParaRPr lang="en-US" sz="1600"/>
          </a:p>
        </c:rich>
      </c:tx>
      <c:layout>
        <c:manualLayout>
          <c:xMode val="edge"/>
          <c:yMode val="edge"/>
          <c:x val="0.16503862354032092"/>
          <c:y val="4.16666666666666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3"/>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PERFORMANCES!$B$3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04A-4D84-9FA6-2FFAFE5A3A0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04A-4D84-9FA6-2FFAFE5A3A0B}"/>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04A-4D84-9FA6-2FFAFE5A3A0B}"/>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304A-4D84-9FA6-2FFAFE5A3A0B}"/>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304A-4D84-9FA6-2FFAFE5A3A0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PERFORMANCES!$A$4:$A$7</c:f>
              <c:strCache>
                <c:ptCount val="4"/>
                <c:pt idx="0">
                  <c:v>AVERAGE</c:v>
                </c:pt>
                <c:pt idx="1">
                  <c:v>EXCELLENT</c:v>
                </c:pt>
                <c:pt idx="2">
                  <c:v>GOOD</c:v>
                </c:pt>
                <c:pt idx="3">
                  <c:v>POOR</c:v>
                </c:pt>
              </c:strCache>
            </c:strRef>
          </c:cat>
          <c:val>
            <c:numRef>
              <c:f>PERFORMANCES!$B$4:$B$7</c:f>
              <c:numCache>
                <c:formatCode>General</c:formatCode>
                <c:ptCount val="4"/>
                <c:pt idx="0">
                  <c:v>141</c:v>
                </c:pt>
                <c:pt idx="1">
                  <c:v>9</c:v>
                </c:pt>
                <c:pt idx="2">
                  <c:v>149</c:v>
                </c:pt>
                <c:pt idx="3">
                  <c:v>1</c:v>
                </c:pt>
              </c:numCache>
            </c:numRef>
          </c:val>
          <c:extLst>
            <c:ext xmlns:c16="http://schemas.microsoft.com/office/drawing/2014/chart" uri="{C3380CC4-5D6E-409C-BE32-E72D297353CC}">
              <c16:uniqueId val="{0000000B-7B3D-478F-8A8D-A0BD1BA3939B}"/>
            </c:ext>
          </c:extLst>
        </c:ser>
        <c:dLbls>
          <c:dLblPos val="outEnd"/>
          <c:showLegendKey val="0"/>
          <c:showVal val="1"/>
          <c:showCatName val="0"/>
          <c:showSerName val="0"/>
          <c:showPercent val="0"/>
          <c:showBubbleSize val="0"/>
          <c:showLeaderLines val="1"/>
        </c:dLbls>
      </c:pie3D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analysis.xlsx]MALE VS FEMALE!PivotTable3</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latin typeface="+mn-lt"/>
              </a:rPr>
              <a:t>MALE VS FEMALE STUDENTS</a:t>
            </a:r>
          </a:p>
        </c:rich>
      </c:tx>
      <c:layout>
        <c:manualLayout>
          <c:xMode val="edge"/>
          <c:yMode val="edge"/>
          <c:x val="0.21887088809020824"/>
          <c:y val="4.8701458482462413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'MALE VS FEMALE'!$B$3</c:f>
              <c:strCache>
                <c:ptCount val="1"/>
                <c:pt idx="0">
                  <c:v>Total</c:v>
                </c:pt>
              </c:strCache>
            </c:strRef>
          </c:tx>
          <c:spPr>
            <a:solidFill>
              <a:schemeClr val="accent1"/>
            </a:solidFill>
            <a:ln>
              <a:noFill/>
            </a:ln>
            <a:effectLst/>
          </c:spPr>
          <c:invertIfNegative val="0"/>
          <c:cat>
            <c:strRef>
              <c:f>'MALE VS FEMALE'!$A$4:$A$6</c:f>
              <c:strCache>
                <c:ptCount val="2"/>
                <c:pt idx="0">
                  <c:v>Female</c:v>
                </c:pt>
                <c:pt idx="1">
                  <c:v>Male</c:v>
                </c:pt>
              </c:strCache>
            </c:strRef>
          </c:cat>
          <c:val>
            <c:numRef>
              <c:f>'MALE VS FEMALE'!$B$4:$B$6</c:f>
              <c:numCache>
                <c:formatCode>General</c:formatCode>
                <c:ptCount val="2"/>
                <c:pt idx="0">
                  <c:v>142</c:v>
                </c:pt>
                <c:pt idx="1">
                  <c:v>158</c:v>
                </c:pt>
              </c:numCache>
            </c:numRef>
          </c:val>
          <c:extLst>
            <c:ext xmlns:c16="http://schemas.microsoft.com/office/drawing/2014/chart" uri="{C3380CC4-5D6E-409C-BE32-E72D297353CC}">
              <c16:uniqueId val="{00000000-FFF4-48B6-B5AC-CC8039B0DD51}"/>
            </c:ext>
          </c:extLst>
        </c:ser>
        <c:dLbls>
          <c:showLegendKey val="0"/>
          <c:showVal val="0"/>
          <c:showCatName val="0"/>
          <c:showSerName val="0"/>
          <c:showPercent val="0"/>
          <c:showBubbleSize val="0"/>
        </c:dLbls>
        <c:gapWidth val="150"/>
        <c:overlap val="100"/>
        <c:axId val="80293968"/>
        <c:axId val="80310768"/>
      </c:barChart>
      <c:catAx>
        <c:axId val="80293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80310768"/>
        <c:crosses val="autoZero"/>
        <c:auto val="1"/>
        <c:lblAlgn val="ctr"/>
        <c:lblOffset val="100"/>
        <c:noMultiLvlLbl val="0"/>
      </c:catAx>
      <c:valAx>
        <c:axId val="8031076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93968"/>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analysis.xlsx]PASS VS FAIL!PivotTable4</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PASS VS FAIL STUDENTS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ysClr val="window" lastClr="FFFFFF">
                <a:lumMod val="9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19166666666666668"/>
              <c:y val="-2.777777777777777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391B87F-3659-4FAC-BDC8-21A04BDA05E7}" type="CATEGORYNAME">
                  <a:rPr lang="en-US" sz="1100" b="1"/>
                  <a:pPr>
                    <a:defRPr sz="900" b="0" i="0" u="none" strike="noStrike" kern="1200" baseline="0">
                      <a:solidFill>
                        <a:schemeClr val="dk1">
                          <a:lumMod val="65000"/>
                          <a:lumOff val="35000"/>
                        </a:schemeClr>
                      </a:solidFill>
                      <a:latin typeface="+mn-lt"/>
                      <a:ea typeface="+mn-ea"/>
                      <a:cs typeface="+mn-cs"/>
                    </a:defRPr>
                  </a:pPr>
                  <a:t>[CATEGORY NAME]</a:t>
                </a:fld>
                <a:r>
                  <a:rPr lang="en-US" sz="1100" b="1" baseline="0"/>
                  <a:t>
</a:t>
                </a:r>
                <a:fld id="{B557F8D3-39DD-4C46-83ED-E615C03142B4}" type="PERCENTAGE">
                  <a:rPr lang="en-US" sz="1100" b="1" baseline="0"/>
                  <a:pPr>
                    <a:defRPr sz="900" b="0" i="0" u="none" strike="noStrike" kern="1200" baseline="0">
                      <a:solidFill>
                        <a:schemeClr val="dk1">
                          <a:lumMod val="65000"/>
                          <a:lumOff val="35000"/>
                        </a:schemeClr>
                      </a:solidFill>
                      <a:latin typeface="+mn-lt"/>
                      <a:ea typeface="+mn-ea"/>
                      <a:cs typeface="+mn-cs"/>
                    </a:defRPr>
                  </a:pPr>
                  <a:t>[PERCENTAGE]</a:t>
                </a:fld>
                <a:endParaRPr lang="en-US" sz="1100" b="1" baseline="0"/>
              </a:p>
            </c:rich>
          </c:tx>
          <c:spPr>
            <a:solidFill>
              <a:sysClr val="window" lastClr="FFFFFF">
                <a:lumMod val="9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8888888888888888"/>
              <c:y val="-4.629629629629629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CA739D0-FF25-4B53-8B00-FB3460248D05}" type="CATEGORYNAME">
                  <a:rPr lang="en-US" sz="1050" b="1"/>
                  <a:pPr>
                    <a:defRPr sz="900" b="0" i="0" u="none" strike="noStrike" kern="1200" baseline="0">
                      <a:solidFill>
                        <a:schemeClr val="dk1">
                          <a:lumMod val="65000"/>
                          <a:lumOff val="35000"/>
                        </a:schemeClr>
                      </a:solidFill>
                      <a:latin typeface="+mn-lt"/>
                      <a:ea typeface="+mn-ea"/>
                      <a:cs typeface="+mn-cs"/>
                    </a:defRPr>
                  </a:pPr>
                  <a:t>[CATEGORY NAME]</a:t>
                </a:fld>
                <a:r>
                  <a:rPr lang="en-US" sz="1050" b="1" baseline="0"/>
                  <a:t>
</a:t>
                </a:r>
                <a:fld id="{EAD5500E-70AD-4DD8-B41B-71E45146EEDE}" type="PERCENTAGE">
                  <a:rPr lang="en-US" sz="1050" b="1" baseline="0"/>
                  <a:pPr>
                    <a:defRPr sz="900" b="0" i="0" u="none" strike="noStrike" kern="1200" baseline="0">
                      <a:solidFill>
                        <a:schemeClr val="dk1">
                          <a:lumMod val="65000"/>
                          <a:lumOff val="35000"/>
                        </a:schemeClr>
                      </a:solidFill>
                      <a:latin typeface="+mn-lt"/>
                      <a:ea typeface="+mn-ea"/>
                      <a:cs typeface="+mn-cs"/>
                    </a:defRPr>
                  </a:pPr>
                  <a:t>[PERCENTAGE]</a:t>
                </a:fld>
                <a:endParaRPr lang="en-US" sz="1050" b="1" baseline="0"/>
              </a:p>
            </c:rich>
          </c:tx>
          <c:spPr>
            <a:solidFill>
              <a:sysClr val="window" lastClr="FFFFFF">
                <a:lumMod val="9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lumMod val="9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8888888888888888"/>
              <c:y val="-4.629629629629629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CA739D0-FF25-4B53-8B00-FB3460248D05}" type="CATEGORYNAME">
                  <a:rPr lang="en-US" sz="1050" b="1"/>
                  <a:pPr>
                    <a:defRPr sz="900" b="0" i="0" u="none" strike="noStrike" kern="1200" baseline="0">
                      <a:solidFill>
                        <a:schemeClr val="dk1">
                          <a:lumMod val="65000"/>
                          <a:lumOff val="35000"/>
                        </a:schemeClr>
                      </a:solidFill>
                      <a:latin typeface="+mn-lt"/>
                      <a:ea typeface="+mn-ea"/>
                      <a:cs typeface="+mn-cs"/>
                    </a:defRPr>
                  </a:pPr>
                  <a:t>[CATEGORY NAME]</a:t>
                </a:fld>
                <a:r>
                  <a:rPr lang="en-US" sz="1050" b="1" baseline="0"/>
                  <a:t>
</a:t>
                </a:r>
                <a:fld id="{EAD5500E-70AD-4DD8-B41B-71E45146EEDE}" type="PERCENTAGE">
                  <a:rPr lang="en-US" sz="1050" b="1" baseline="0"/>
                  <a:pPr>
                    <a:defRPr sz="900" b="0" i="0" u="none" strike="noStrike" kern="1200" baseline="0">
                      <a:solidFill>
                        <a:schemeClr val="dk1">
                          <a:lumMod val="65000"/>
                          <a:lumOff val="35000"/>
                        </a:schemeClr>
                      </a:solidFill>
                      <a:latin typeface="+mn-lt"/>
                      <a:ea typeface="+mn-ea"/>
                      <a:cs typeface="+mn-cs"/>
                    </a:defRPr>
                  </a:pPr>
                  <a:t>[PERCENTAGE]</a:t>
                </a:fld>
                <a:endParaRPr lang="en-US" sz="1050" b="1" baseline="0"/>
              </a:p>
            </c:rich>
          </c:tx>
          <c:spPr>
            <a:solidFill>
              <a:sysClr val="window" lastClr="FFFFFF">
                <a:lumMod val="9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9166666666666668"/>
              <c:y val="-2.777777777777777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391B87F-3659-4FAC-BDC8-21A04BDA05E7}" type="CATEGORYNAME">
                  <a:rPr lang="en-US" sz="1100" b="1"/>
                  <a:pPr>
                    <a:defRPr sz="900" b="0" i="0" u="none" strike="noStrike" kern="1200" baseline="0">
                      <a:solidFill>
                        <a:schemeClr val="dk1">
                          <a:lumMod val="65000"/>
                          <a:lumOff val="35000"/>
                        </a:schemeClr>
                      </a:solidFill>
                      <a:latin typeface="+mn-lt"/>
                      <a:ea typeface="+mn-ea"/>
                      <a:cs typeface="+mn-cs"/>
                    </a:defRPr>
                  </a:pPr>
                  <a:t>[CATEGORY NAME]</a:t>
                </a:fld>
                <a:r>
                  <a:rPr lang="en-US" sz="1100" b="1" baseline="0"/>
                  <a:t>
</a:t>
                </a:r>
                <a:fld id="{B557F8D3-39DD-4C46-83ED-E615C03142B4}" type="PERCENTAGE">
                  <a:rPr lang="en-US" sz="1100" b="1" baseline="0"/>
                  <a:pPr>
                    <a:defRPr sz="900" b="0" i="0" u="none" strike="noStrike" kern="1200" baseline="0">
                      <a:solidFill>
                        <a:schemeClr val="dk1">
                          <a:lumMod val="65000"/>
                          <a:lumOff val="35000"/>
                        </a:schemeClr>
                      </a:solidFill>
                      <a:latin typeface="+mn-lt"/>
                      <a:ea typeface="+mn-ea"/>
                      <a:cs typeface="+mn-cs"/>
                    </a:defRPr>
                  </a:pPr>
                  <a:t>[PERCENTAGE]</a:t>
                </a:fld>
                <a:endParaRPr lang="en-US" sz="1100" b="1" baseline="0"/>
              </a:p>
            </c:rich>
          </c:tx>
          <c:spPr>
            <a:solidFill>
              <a:sysClr val="window" lastClr="FFFFFF">
                <a:lumMod val="9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lumMod val="9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8888888888888888"/>
              <c:y val="-4.629629629629629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CA739D0-FF25-4B53-8B00-FB3460248D05}" type="CATEGORYNAME">
                  <a:rPr lang="en-US" sz="1050" b="1"/>
                  <a:pPr>
                    <a:defRPr/>
                  </a:pPr>
                  <a:t>[CATEGORY NAME]</a:t>
                </a:fld>
                <a:r>
                  <a:rPr lang="en-US" sz="1050" b="1" baseline="0"/>
                  <a:t>
</a:t>
                </a:r>
                <a:fld id="{EAD5500E-70AD-4DD8-B41B-71E45146EEDE}" type="PERCENTAGE">
                  <a:rPr lang="en-US" sz="1050" b="1" baseline="0"/>
                  <a:pPr>
                    <a:defRPr/>
                  </a:pPr>
                  <a:t>[PERCENTAGE]</a:t>
                </a:fld>
                <a:endParaRPr lang="en-US" sz="1050" b="1" baseline="0"/>
              </a:p>
            </c:rich>
          </c:tx>
          <c:spPr>
            <a:solidFill>
              <a:sysClr val="window" lastClr="FFFFFF">
                <a:lumMod val="9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9166666666666668"/>
              <c:y val="-2.777777777777777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391B87F-3659-4FAC-BDC8-21A04BDA05E7}" type="CATEGORYNAME">
                  <a:rPr lang="en-US" sz="1100" b="1"/>
                  <a:pPr>
                    <a:defRPr/>
                  </a:pPr>
                  <a:t>[CATEGORY NAME]</a:t>
                </a:fld>
                <a:r>
                  <a:rPr lang="en-US" sz="1100" b="1" baseline="0"/>
                  <a:t>
</a:t>
                </a:r>
                <a:fld id="{B557F8D3-39DD-4C46-83ED-E615C03142B4}" type="PERCENTAGE">
                  <a:rPr lang="en-US" sz="1100" b="1" baseline="0"/>
                  <a:pPr>
                    <a:defRPr/>
                  </a:pPr>
                  <a:t>[PERCENTAGE]</a:t>
                </a:fld>
                <a:endParaRPr lang="en-US" sz="1100" b="1" baseline="0"/>
              </a:p>
            </c:rich>
          </c:tx>
          <c:spPr>
            <a:solidFill>
              <a:sysClr val="window" lastClr="FFFFFF">
                <a:lumMod val="9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doughnutChart>
        <c:varyColors val="1"/>
        <c:ser>
          <c:idx val="0"/>
          <c:order val="0"/>
          <c:tx>
            <c:strRef>
              <c:f>'PASS VS FAIL'!$B$3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491-4B55-9BCB-CBBCC68CC47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491-4B55-9BCB-CBBCC68CC473}"/>
              </c:ext>
            </c:extLst>
          </c:dPt>
          <c:dLbls>
            <c:dLbl>
              <c:idx val="0"/>
              <c:layout>
                <c:manualLayout>
                  <c:x val="0.18888888888888888"/>
                  <c:y val="-4.6296296296296294E-2"/>
                </c:manualLayout>
              </c:layout>
              <c:tx>
                <c:rich>
                  <a:bodyPr/>
                  <a:lstStyle/>
                  <a:p>
                    <a:fld id="{ACA739D0-FF25-4B53-8B00-FB3460248D05}" type="CATEGORYNAME">
                      <a:rPr lang="en-US" sz="1050" b="1"/>
                      <a:pPr/>
                      <a:t>[CATEGORY NAME]</a:t>
                    </a:fld>
                    <a:r>
                      <a:rPr lang="en-US" sz="1050" b="1" baseline="0"/>
                      <a:t>
</a:t>
                    </a:r>
                    <a:fld id="{EAD5500E-70AD-4DD8-B41B-71E45146EEDE}" type="PERCENTAGE">
                      <a:rPr lang="en-US" sz="1050" b="1" baseline="0"/>
                      <a:pPr/>
                      <a:t>[PERCENTAGE]</a:t>
                    </a:fld>
                    <a:endParaRPr lang="en-US" sz="1050" b="1"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491-4B55-9BCB-CBBCC68CC473}"/>
                </c:ext>
              </c:extLst>
            </c:dLbl>
            <c:dLbl>
              <c:idx val="1"/>
              <c:layout>
                <c:manualLayout>
                  <c:x val="-0.19166666666666668"/>
                  <c:y val="-2.7777777777777776E-2"/>
                </c:manualLayout>
              </c:layout>
              <c:tx>
                <c:rich>
                  <a:bodyPr/>
                  <a:lstStyle/>
                  <a:p>
                    <a:fld id="{A391B87F-3659-4FAC-BDC8-21A04BDA05E7}" type="CATEGORYNAME">
                      <a:rPr lang="en-US" sz="1100" b="1"/>
                      <a:pPr/>
                      <a:t>[CATEGORY NAME]</a:t>
                    </a:fld>
                    <a:r>
                      <a:rPr lang="en-US" sz="1100" b="1" baseline="0"/>
                      <a:t>
</a:t>
                    </a:r>
                    <a:fld id="{B557F8D3-39DD-4C46-83ED-E615C03142B4}" type="PERCENTAGE">
                      <a:rPr lang="en-US" sz="1100" b="1" baseline="0"/>
                      <a:pPr/>
                      <a:t>[PERCENTAGE]</a:t>
                    </a:fld>
                    <a:endParaRPr lang="en-US" sz="1100" b="1"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491-4B55-9BCB-CBBCC68CC473}"/>
                </c:ext>
              </c:extLst>
            </c:dLbl>
            <c:spPr>
              <a:solidFill>
                <a:sysClr val="window" lastClr="FFFFFF">
                  <a:lumMod val="9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'PASS VS FAIL'!$A$4:$A$6</c:f>
              <c:strCache>
                <c:ptCount val="2"/>
                <c:pt idx="0">
                  <c:v>Fail</c:v>
                </c:pt>
                <c:pt idx="1">
                  <c:v>Pass</c:v>
                </c:pt>
              </c:strCache>
            </c:strRef>
          </c:cat>
          <c:val>
            <c:numRef>
              <c:f>'PASS VS FAIL'!$B$4:$B$6</c:f>
              <c:numCache>
                <c:formatCode>General</c:formatCode>
                <c:ptCount val="2"/>
                <c:pt idx="0">
                  <c:v>221</c:v>
                </c:pt>
                <c:pt idx="1">
                  <c:v>79</c:v>
                </c:pt>
              </c:numCache>
            </c:numRef>
          </c:val>
          <c:extLst>
            <c:ext xmlns:c16="http://schemas.microsoft.com/office/drawing/2014/chart" uri="{C3380CC4-5D6E-409C-BE32-E72D297353CC}">
              <c16:uniqueId val="{00000004-8491-4B55-9BCB-CBBCC68CC473}"/>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analysis.xlsx]BACKLOGS!PivotTable5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BACKLOGS OF STUDENTS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BACKLOGS!$B$3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BACKLOGS!$A$4:$A$9</c:f>
              <c:strCache>
                <c:ptCount val="5"/>
                <c:pt idx="0">
                  <c:v>0</c:v>
                </c:pt>
                <c:pt idx="1">
                  <c:v>1</c:v>
                </c:pt>
                <c:pt idx="2">
                  <c:v>2</c:v>
                </c:pt>
                <c:pt idx="3">
                  <c:v>3</c:v>
                </c:pt>
                <c:pt idx="4">
                  <c:v>4</c:v>
                </c:pt>
              </c:strCache>
            </c:strRef>
          </c:cat>
          <c:val>
            <c:numRef>
              <c:f>BACKLOGS!$B$4:$B$9</c:f>
              <c:numCache>
                <c:formatCode>General</c:formatCode>
                <c:ptCount val="5"/>
                <c:pt idx="0">
                  <c:v>79</c:v>
                </c:pt>
                <c:pt idx="1">
                  <c:v>140</c:v>
                </c:pt>
                <c:pt idx="2">
                  <c:v>65</c:v>
                </c:pt>
                <c:pt idx="3">
                  <c:v>15</c:v>
                </c:pt>
                <c:pt idx="4">
                  <c:v>1</c:v>
                </c:pt>
              </c:numCache>
            </c:numRef>
          </c:val>
          <c:smooth val="0"/>
          <c:extLst>
            <c:ext xmlns:c16="http://schemas.microsoft.com/office/drawing/2014/chart" uri="{C3380CC4-5D6E-409C-BE32-E72D297353CC}">
              <c16:uniqueId val="{00000000-A179-4C54-8E7D-531D90DC96D4}"/>
            </c:ext>
          </c:extLst>
        </c:ser>
        <c:dLbls>
          <c:dLblPos val="t"/>
          <c:showLegendKey val="0"/>
          <c:showVal val="1"/>
          <c:showCatName val="0"/>
          <c:showSerName val="0"/>
          <c:showPercent val="0"/>
          <c:showBubbleSize val="0"/>
        </c:dLbls>
        <c:marker val="1"/>
        <c:smooth val="0"/>
        <c:axId val="224568400"/>
        <c:axId val="224572720"/>
      </c:lineChart>
      <c:catAx>
        <c:axId val="22456840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NO. OF BACKLOG</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72720"/>
        <c:crosses val="autoZero"/>
        <c:auto val="1"/>
        <c:lblAlgn val="ctr"/>
        <c:lblOffset val="100"/>
        <c:noMultiLvlLbl val="0"/>
      </c:catAx>
      <c:valAx>
        <c:axId val="224572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STUDENTS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6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analysis.xlsx]PLACEMENTS!PivotTable6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PLACED</a:t>
            </a:r>
            <a:r>
              <a:rPr lang="en-IN" baseline="0"/>
              <a:t> VS NOT PLACED</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PLACEMENTS!$B$3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PLACEMENTS!$A$4:$A$6</c:f>
              <c:strCache>
                <c:ptCount val="2"/>
                <c:pt idx="0">
                  <c:v>NO</c:v>
                </c:pt>
                <c:pt idx="1">
                  <c:v>YES</c:v>
                </c:pt>
              </c:strCache>
            </c:strRef>
          </c:cat>
          <c:val>
            <c:numRef>
              <c:f>PLACEMENTS!$B$4:$B$6</c:f>
              <c:numCache>
                <c:formatCode>General</c:formatCode>
                <c:ptCount val="2"/>
                <c:pt idx="0">
                  <c:v>221</c:v>
                </c:pt>
                <c:pt idx="1">
                  <c:v>79</c:v>
                </c:pt>
              </c:numCache>
            </c:numRef>
          </c:val>
          <c:extLst>
            <c:ext xmlns:c16="http://schemas.microsoft.com/office/drawing/2014/chart" uri="{C3380CC4-5D6E-409C-BE32-E72D297353CC}">
              <c16:uniqueId val="{00000000-6D9F-48AA-B667-CE212B9BA257}"/>
            </c:ext>
          </c:extLst>
        </c:ser>
        <c:dLbls>
          <c:dLblPos val="outEnd"/>
          <c:showLegendKey val="0"/>
          <c:showVal val="1"/>
          <c:showCatName val="0"/>
          <c:showSerName val="0"/>
          <c:showPercent val="0"/>
          <c:showBubbleSize val="0"/>
        </c:dLbls>
        <c:gapWidth val="115"/>
        <c:overlap val="-20"/>
        <c:axId val="224595280"/>
        <c:axId val="224588080"/>
      </c:barChart>
      <c:catAx>
        <c:axId val="2245952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4588080"/>
        <c:crosses val="autoZero"/>
        <c:auto val="1"/>
        <c:lblAlgn val="ctr"/>
        <c:lblOffset val="100"/>
        <c:noMultiLvlLbl val="0"/>
      </c:catAx>
      <c:valAx>
        <c:axId val="22458808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459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analysis.xlsx]EACH SUBJECT!PivotTable9</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AVERAGE</a:t>
            </a:r>
            <a:r>
              <a:rPr lang="en-US" baseline="0"/>
              <a:t> PERFORMANCE BY SUBJECT</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'EACH SUBJECT'!$B$3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'EACH SUBJECT'!$A$4:$A$9</c:f>
              <c:strCache>
                <c:ptCount val="5"/>
                <c:pt idx="0">
                  <c:v>COMPUTER NETWORKS</c:v>
                </c:pt>
                <c:pt idx="1">
                  <c:v>DBMS</c:v>
                </c:pt>
                <c:pt idx="2">
                  <c:v>ENGLISH</c:v>
                </c:pt>
                <c:pt idx="3">
                  <c:v>MATHS</c:v>
                </c:pt>
                <c:pt idx="4">
                  <c:v>PYTHON</c:v>
                </c:pt>
              </c:strCache>
            </c:strRef>
          </c:cat>
          <c:val>
            <c:numRef>
              <c:f>'EACH SUBJECT'!$B$4:$B$9</c:f>
              <c:numCache>
                <c:formatCode>General</c:formatCode>
                <c:ptCount val="5"/>
                <c:pt idx="0">
                  <c:v>76.266666666666666</c:v>
                </c:pt>
                <c:pt idx="1">
                  <c:v>54.176666666666669</c:v>
                </c:pt>
                <c:pt idx="2">
                  <c:v>66.663333333333327</c:v>
                </c:pt>
                <c:pt idx="3">
                  <c:v>49.39</c:v>
                </c:pt>
                <c:pt idx="4">
                  <c:v>59.413333333333334</c:v>
                </c:pt>
              </c:numCache>
            </c:numRef>
          </c:val>
          <c:extLst>
            <c:ext xmlns:c16="http://schemas.microsoft.com/office/drawing/2014/chart" uri="{C3380CC4-5D6E-409C-BE32-E72D297353CC}">
              <c16:uniqueId val="{00000000-BDE0-4E35-AFED-9607F91B92FB}"/>
            </c:ext>
          </c:extLst>
        </c:ser>
        <c:dLbls>
          <c:showLegendKey val="0"/>
          <c:showVal val="0"/>
          <c:showCatName val="0"/>
          <c:showSerName val="0"/>
          <c:showPercent val="0"/>
          <c:showBubbleSize val="0"/>
        </c:dLbls>
        <c:gapWidth val="150"/>
        <c:overlap val="100"/>
        <c:axId val="224586640"/>
        <c:axId val="224570320"/>
      </c:barChart>
      <c:catAx>
        <c:axId val="22458664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SUBJECTS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70320"/>
        <c:crosses val="autoZero"/>
        <c:auto val="1"/>
        <c:lblAlgn val="ctr"/>
        <c:lblOffset val="100"/>
        <c:noMultiLvlLbl val="0"/>
      </c:catAx>
      <c:valAx>
        <c:axId val="224570320"/>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AVERAGE MARKS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8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analysis.xlsx]MALE VS FEMALE PLACEMENT!PivotTable13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MALE VS FEMALE PLACEMENT 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9444444444444344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3333333333333332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5000000000000001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9444444444444445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9444444444444445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3333333333333332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5000000000000001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9444444444444344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444444444444445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32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000000000000001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444444444444344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'MALE VS FEMALE PLACEMENT'!$B$3:$B$4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6F1C-4425-8129-54C0ECFE1B81}"/>
              </c:ext>
            </c:extLst>
          </c:dPt>
          <c:dPt>
            <c:idx val="1"/>
            <c:invertIfNegative val="0"/>
            <c:bubble3D val="0"/>
            <c:extLst>
              <c:ext xmlns:c16="http://schemas.microsoft.com/office/drawing/2014/chart" uri="{C3380CC4-5D6E-409C-BE32-E72D297353CC}">
                <c16:uniqueId val="{00000001-6F1C-4425-8129-54C0ECFE1B81}"/>
              </c:ext>
            </c:extLst>
          </c:dPt>
          <c:dLbls>
            <c:dLbl>
              <c:idx val="0"/>
              <c:layout>
                <c:manualLayout>
                  <c:x val="1.9444444444444445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F1C-4425-8129-54C0ECFE1B81}"/>
                </c:ext>
              </c:extLst>
            </c:dLbl>
            <c:dLbl>
              <c:idx val="1"/>
              <c:layout>
                <c:manualLayout>
                  <c:x val="8.3333333333333332E-3"/>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1C-4425-8129-54C0ECFE1B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'MALE VS FEMALE PLACEMENT'!$A$5:$A$6</c:f>
              <c:strCache>
                <c:ptCount val="2"/>
                <c:pt idx="0">
                  <c:v>Female</c:v>
                </c:pt>
                <c:pt idx="1">
                  <c:v>Male</c:v>
                </c:pt>
              </c:strCache>
            </c:strRef>
          </c:cat>
          <c:val>
            <c:numRef>
              <c:f>'MALE VS FEMALE PLACEMENT'!$B$5:$B$6</c:f>
              <c:numCache>
                <c:formatCode>General</c:formatCode>
                <c:ptCount val="2"/>
                <c:pt idx="0">
                  <c:v>107</c:v>
                </c:pt>
                <c:pt idx="1">
                  <c:v>114</c:v>
                </c:pt>
              </c:numCache>
            </c:numRef>
          </c:val>
          <c:extLst>
            <c:ext xmlns:c16="http://schemas.microsoft.com/office/drawing/2014/chart" uri="{C3380CC4-5D6E-409C-BE32-E72D297353CC}">
              <c16:uniqueId val="{00000002-6F1C-4425-8129-54C0ECFE1B81}"/>
            </c:ext>
          </c:extLst>
        </c:ser>
        <c:ser>
          <c:idx val="1"/>
          <c:order val="1"/>
          <c:tx>
            <c:strRef>
              <c:f>'MALE VS FEMALE PLACEMENT'!$C$3:$C$4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3-6F1C-4425-8129-54C0ECFE1B81}"/>
              </c:ext>
            </c:extLst>
          </c:dPt>
          <c:dPt>
            <c:idx val="1"/>
            <c:invertIfNegative val="0"/>
            <c:bubble3D val="0"/>
            <c:extLst>
              <c:ext xmlns:c16="http://schemas.microsoft.com/office/drawing/2014/chart" uri="{C3380CC4-5D6E-409C-BE32-E72D297353CC}">
                <c16:uniqueId val="{00000004-6F1C-4425-8129-54C0ECFE1B81}"/>
              </c:ext>
            </c:extLst>
          </c:dPt>
          <c:dLbls>
            <c:dLbl>
              <c:idx val="0"/>
              <c:layout>
                <c:manualLayout>
                  <c:x val="2.5000000000000001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F1C-4425-8129-54C0ECFE1B81}"/>
                </c:ext>
              </c:extLst>
            </c:dLbl>
            <c:dLbl>
              <c:idx val="1"/>
              <c:layout>
                <c:manualLayout>
                  <c:x val="1.9444444444444344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F1C-4425-8129-54C0ECFE1B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'MALE VS FEMALE PLACEMENT'!$A$5:$A$6</c:f>
              <c:strCache>
                <c:ptCount val="2"/>
                <c:pt idx="0">
                  <c:v>Female</c:v>
                </c:pt>
                <c:pt idx="1">
                  <c:v>Male</c:v>
                </c:pt>
              </c:strCache>
            </c:strRef>
          </c:cat>
          <c:val>
            <c:numRef>
              <c:f>'MALE VS FEMALE PLACEMENT'!$C$5:$C$6</c:f>
              <c:numCache>
                <c:formatCode>General</c:formatCode>
                <c:ptCount val="2"/>
                <c:pt idx="0">
                  <c:v>35</c:v>
                </c:pt>
                <c:pt idx="1">
                  <c:v>44</c:v>
                </c:pt>
              </c:numCache>
            </c:numRef>
          </c:val>
          <c:extLst>
            <c:ext xmlns:c16="http://schemas.microsoft.com/office/drawing/2014/chart" uri="{C3380CC4-5D6E-409C-BE32-E72D297353CC}">
              <c16:uniqueId val="{00000005-6F1C-4425-8129-54C0ECFE1B81}"/>
            </c:ext>
          </c:extLst>
        </c:ser>
        <c:dLbls>
          <c:showLegendKey val="0"/>
          <c:showVal val="1"/>
          <c:showCatName val="0"/>
          <c:showSerName val="0"/>
          <c:showPercent val="0"/>
          <c:showBubbleSize val="0"/>
        </c:dLbls>
        <c:gapWidth val="150"/>
        <c:axId val="80304048"/>
        <c:axId val="80304528"/>
      </c:barChart>
      <c:catAx>
        <c:axId val="80304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304528"/>
        <c:crosses val="autoZero"/>
        <c:auto val="1"/>
        <c:lblAlgn val="ctr"/>
        <c:lblOffset val="100"/>
        <c:noMultiLvlLbl val="0"/>
      </c:catAx>
      <c:valAx>
        <c:axId val="8030452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30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31</xdr:col>
      <xdr:colOff>158435</xdr:colOff>
      <xdr:row>7</xdr:row>
      <xdr:rowOff>82991</xdr:rowOff>
    </xdr:from>
    <xdr:to>
      <xdr:col>37</xdr:col>
      <xdr:colOff>271604</xdr:colOff>
      <xdr:row>15</xdr:row>
      <xdr:rowOff>67901</xdr:rowOff>
    </xdr:to>
    <xdr:grpSp>
      <xdr:nvGrpSpPr>
        <xdr:cNvPr id="7" name="Group 6">
          <a:extLst>
            <a:ext uri="{FF2B5EF4-FFF2-40B4-BE49-F238E27FC236}">
              <a16:creationId xmlns:a16="http://schemas.microsoft.com/office/drawing/2014/main" id="{D4C9AEFA-2A62-1D18-6A24-A0A4C2045489}"/>
            </a:ext>
          </a:extLst>
        </xdr:cNvPr>
        <xdr:cNvGrpSpPr/>
      </xdr:nvGrpSpPr>
      <xdr:grpSpPr>
        <a:xfrm>
          <a:off x="26239960" y="1350476"/>
          <a:ext cx="3779822" cy="1433465"/>
          <a:chOff x="26239960" y="1350476"/>
          <a:chExt cx="3779822" cy="1433465"/>
        </a:xfrm>
      </xdr:grpSpPr>
      <xdr:sp macro="" textlink="">
        <xdr:nvSpPr>
          <xdr:cNvPr id="3" name="Rectangle 2">
            <a:extLst>
              <a:ext uri="{FF2B5EF4-FFF2-40B4-BE49-F238E27FC236}">
                <a16:creationId xmlns:a16="http://schemas.microsoft.com/office/drawing/2014/main" id="{9402701C-2852-0ADC-87E0-684625D65B2F}"/>
              </a:ext>
            </a:extLst>
          </xdr:cNvPr>
          <xdr:cNvSpPr/>
        </xdr:nvSpPr>
        <xdr:spPr>
          <a:xfrm>
            <a:off x="26239960" y="2278456"/>
            <a:ext cx="1184495" cy="50548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STUDENTS         </a:t>
            </a:r>
          </a:p>
          <a:p>
            <a:pPr algn="l"/>
            <a:r>
              <a:rPr lang="en-IN" sz="1100"/>
              <a:t>            300</a:t>
            </a:r>
          </a:p>
        </xdr:txBody>
      </xdr:sp>
      <xdr:sp macro="" textlink="">
        <xdr:nvSpPr>
          <xdr:cNvPr id="4" name="Rectangle 3">
            <a:extLst>
              <a:ext uri="{FF2B5EF4-FFF2-40B4-BE49-F238E27FC236}">
                <a16:creationId xmlns:a16="http://schemas.microsoft.com/office/drawing/2014/main" id="{517D3B44-46E2-7A93-71DB-A025CDA4204D}"/>
              </a:ext>
            </a:extLst>
          </xdr:cNvPr>
          <xdr:cNvSpPr/>
        </xdr:nvSpPr>
        <xdr:spPr>
          <a:xfrm>
            <a:off x="27502415" y="1984218"/>
            <a:ext cx="1199584" cy="4979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PASSED   </a:t>
            </a:r>
          </a:p>
          <a:p>
            <a:pPr algn="l"/>
            <a:r>
              <a:rPr lang="en-IN" sz="1100"/>
              <a:t>              79</a:t>
            </a:r>
          </a:p>
        </xdr:txBody>
      </xdr:sp>
      <xdr:sp macro="" textlink="">
        <xdr:nvSpPr>
          <xdr:cNvPr id="5" name="Rectangle 4">
            <a:extLst>
              <a:ext uri="{FF2B5EF4-FFF2-40B4-BE49-F238E27FC236}">
                <a16:creationId xmlns:a16="http://schemas.microsoft.com/office/drawing/2014/main" id="{CC8CF5FF-10BF-D1CA-6918-420B3A8C4675}"/>
              </a:ext>
            </a:extLst>
          </xdr:cNvPr>
          <xdr:cNvSpPr/>
        </xdr:nvSpPr>
        <xdr:spPr>
          <a:xfrm>
            <a:off x="28805109" y="2278456"/>
            <a:ext cx="1214673" cy="49794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FAILED</a:t>
            </a:r>
          </a:p>
          <a:p>
            <a:pPr algn="l"/>
            <a:r>
              <a:rPr lang="en-IN" sz="1100"/>
              <a:t>             221  </a:t>
            </a:r>
          </a:p>
        </xdr:txBody>
      </xdr:sp>
      <xdr:sp macro="" textlink="">
        <xdr:nvSpPr>
          <xdr:cNvPr id="6" name="Rectangle 5">
            <a:extLst>
              <a:ext uri="{FF2B5EF4-FFF2-40B4-BE49-F238E27FC236}">
                <a16:creationId xmlns:a16="http://schemas.microsoft.com/office/drawing/2014/main" id="{EFF61D69-3E7A-09A6-EA35-C75447194896}"/>
              </a:ext>
            </a:extLst>
          </xdr:cNvPr>
          <xdr:cNvSpPr/>
        </xdr:nvSpPr>
        <xdr:spPr>
          <a:xfrm>
            <a:off x="27331405" y="1350476"/>
            <a:ext cx="1297663" cy="44512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PLACED STUDENTS</a:t>
            </a:r>
          </a:p>
          <a:p>
            <a:pPr algn="l"/>
            <a:r>
              <a:rPr lang="en-IN" sz="1100"/>
              <a:t>               79</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350520</xdr:colOff>
      <xdr:row>6</xdr:row>
      <xdr:rowOff>3810</xdr:rowOff>
    </xdr:from>
    <xdr:to>
      <xdr:col>11</xdr:col>
      <xdr:colOff>45720</xdr:colOff>
      <xdr:row>21</xdr:row>
      <xdr:rowOff>3810</xdr:rowOff>
    </xdr:to>
    <xdr:graphicFrame macro="">
      <xdr:nvGraphicFramePr>
        <xdr:cNvPr id="2" name="Chart 1">
          <a:extLst>
            <a:ext uri="{FF2B5EF4-FFF2-40B4-BE49-F238E27FC236}">
              <a16:creationId xmlns:a16="http://schemas.microsoft.com/office/drawing/2014/main" id="{E49C4BF5-F96A-C5E2-7463-EC85E58419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350520</xdr:colOff>
      <xdr:row>6</xdr:row>
      <xdr:rowOff>3810</xdr:rowOff>
    </xdr:from>
    <xdr:to>
      <xdr:col>11</xdr:col>
      <xdr:colOff>45720</xdr:colOff>
      <xdr:row>21</xdr:row>
      <xdr:rowOff>3810</xdr:rowOff>
    </xdr:to>
    <xdr:graphicFrame macro="">
      <xdr:nvGraphicFramePr>
        <xdr:cNvPr id="2" name="Chart 1">
          <a:extLst>
            <a:ext uri="{FF2B5EF4-FFF2-40B4-BE49-F238E27FC236}">
              <a16:creationId xmlns:a16="http://schemas.microsoft.com/office/drawing/2014/main" id="{3A88B0ED-6410-92A7-592B-2B90EFB389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640080</xdr:colOff>
      <xdr:row>6</xdr:row>
      <xdr:rowOff>3810</xdr:rowOff>
    </xdr:from>
    <xdr:to>
      <xdr:col>8</xdr:col>
      <xdr:colOff>205740</xdr:colOff>
      <xdr:row>21</xdr:row>
      <xdr:rowOff>3810</xdr:rowOff>
    </xdr:to>
    <xdr:graphicFrame macro="">
      <xdr:nvGraphicFramePr>
        <xdr:cNvPr id="2" name="Chart 1">
          <a:extLst>
            <a:ext uri="{FF2B5EF4-FFF2-40B4-BE49-F238E27FC236}">
              <a16:creationId xmlns:a16="http://schemas.microsoft.com/office/drawing/2014/main" id="{75459CF7-B22F-FCDC-24B8-6321D4AC9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350520</xdr:colOff>
      <xdr:row>6</xdr:row>
      <xdr:rowOff>3810</xdr:rowOff>
    </xdr:from>
    <xdr:to>
      <xdr:col>11</xdr:col>
      <xdr:colOff>45720</xdr:colOff>
      <xdr:row>21</xdr:row>
      <xdr:rowOff>3810</xdr:rowOff>
    </xdr:to>
    <xdr:graphicFrame macro="">
      <xdr:nvGraphicFramePr>
        <xdr:cNvPr id="2" name="Chart 1">
          <a:extLst>
            <a:ext uri="{FF2B5EF4-FFF2-40B4-BE49-F238E27FC236}">
              <a16:creationId xmlns:a16="http://schemas.microsoft.com/office/drawing/2014/main" id="{3E3E4152-1AB8-8E3D-F784-2668BDD291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91440</xdr:colOff>
      <xdr:row>5</xdr:row>
      <xdr:rowOff>179070</xdr:rowOff>
    </xdr:from>
    <xdr:to>
      <xdr:col>10</xdr:col>
      <xdr:colOff>396240</xdr:colOff>
      <xdr:row>20</xdr:row>
      <xdr:rowOff>179070</xdr:rowOff>
    </xdr:to>
    <xdr:graphicFrame macro="">
      <xdr:nvGraphicFramePr>
        <xdr:cNvPr id="2" name="Chart 1">
          <a:extLst>
            <a:ext uri="{FF2B5EF4-FFF2-40B4-BE49-F238E27FC236}">
              <a16:creationId xmlns:a16="http://schemas.microsoft.com/office/drawing/2014/main" id="{589A3A22-F401-A589-CEFC-9D8229B022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647700</xdr:colOff>
      <xdr:row>6</xdr:row>
      <xdr:rowOff>3810</xdr:rowOff>
    </xdr:from>
    <xdr:to>
      <xdr:col>8</xdr:col>
      <xdr:colOff>579120</xdr:colOff>
      <xdr:row>21</xdr:row>
      <xdr:rowOff>3810</xdr:rowOff>
    </xdr:to>
    <xdr:graphicFrame macro="">
      <xdr:nvGraphicFramePr>
        <xdr:cNvPr id="2" name="Chart 1">
          <a:extLst>
            <a:ext uri="{FF2B5EF4-FFF2-40B4-BE49-F238E27FC236}">
              <a16:creationId xmlns:a16="http://schemas.microsoft.com/office/drawing/2014/main" id="{610B8811-5DF1-0805-3A64-9B663B626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480060</xdr:colOff>
      <xdr:row>6</xdr:row>
      <xdr:rowOff>3810</xdr:rowOff>
    </xdr:from>
    <xdr:to>
      <xdr:col>10</xdr:col>
      <xdr:colOff>525780</xdr:colOff>
      <xdr:row>21</xdr:row>
      <xdr:rowOff>3810</xdr:rowOff>
    </xdr:to>
    <xdr:graphicFrame macro="">
      <xdr:nvGraphicFramePr>
        <xdr:cNvPr id="2" name="Chart 1">
          <a:extLst>
            <a:ext uri="{FF2B5EF4-FFF2-40B4-BE49-F238E27FC236}">
              <a16:creationId xmlns:a16="http://schemas.microsoft.com/office/drawing/2014/main" id="{981F809A-DFFE-9B00-19FA-FE8698AF15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203200</xdr:colOff>
      <xdr:row>7</xdr:row>
      <xdr:rowOff>162560</xdr:rowOff>
    </xdr:from>
    <xdr:to>
      <xdr:col>9</xdr:col>
      <xdr:colOff>10160</xdr:colOff>
      <xdr:row>22</xdr:row>
      <xdr:rowOff>111760</xdr:rowOff>
    </xdr:to>
    <xdr:graphicFrame macro="">
      <xdr:nvGraphicFramePr>
        <xdr:cNvPr id="2" name="Chart 1">
          <a:extLst>
            <a:ext uri="{FF2B5EF4-FFF2-40B4-BE49-F238E27FC236}">
              <a16:creationId xmlns:a16="http://schemas.microsoft.com/office/drawing/2014/main" id="{00514B5C-4446-4890-86D8-150FF2104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233680</xdr:colOff>
      <xdr:row>7</xdr:row>
      <xdr:rowOff>172720</xdr:rowOff>
    </xdr:from>
    <xdr:to>
      <xdr:col>17</xdr:col>
      <xdr:colOff>325120</xdr:colOff>
      <xdr:row>22</xdr:row>
      <xdr:rowOff>111760</xdr:rowOff>
    </xdr:to>
    <xdr:graphicFrame macro="">
      <xdr:nvGraphicFramePr>
        <xdr:cNvPr id="3" name="Chart 2">
          <a:extLst>
            <a:ext uri="{FF2B5EF4-FFF2-40B4-BE49-F238E27FC236}">
              <a16:creationId xmlns:a16="http://schemas.microsoft.com/office/drawing/2014/main" id="{A42C073A-2CB4-45AD-9325-8F65F3108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20320</xdr:colOff>
      <xdr:row>7</xdr:row>
      <xdr:rowOff>172720</xdr:rowOff>
    </xdr:from>
    <xdr:to>
      <xdr:col>23</xdr:col>
      <xdr:colOff>528320</xdr:colOff>
      <xdr:row>22</xdr:row>
      <xdr:rowOff>101600</xdr:rowOff>
    </xdr:to>
    <xdr:graphicFrame macro="">
      <xdr:nvGraphicFramePr>
        <xdr:cNvPr id="4" name="Chart 3">
          <a:extLst>
            <a:ext uri="{FF2B5EF4-FFF2-40B4-BE49-F238E27FC236}">
              <a16:creationId xmlns:a16="http://schemas.microsoft.com/office/drawing/2014/main" id="{3EF40032-04C0-4C8C-B35F-37A907A60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172720</xdr:colOff>
      <xdr:row>23</xdr:row>
      <xdr:rowOff>60960</xdr:rowOff>
    </xdr:from>
    <xdr:to>
      <xdr:col>9</xdr:col>
      <xdr:colOff>30480</xdr:colOff>
      <xdr:row>38</xdr:row>
      <xdr:rowOff>0</xdr:rowOff>
    </xdr:to>
    <xdr:graphicFrame macro="">
      <xdr:nvGraphicFramePr>
        <xdr:cNvPr id="5" name="Chart 4">
          <a:extLst>
            <a:ext uri="{FF2B5EF4-FFF2-40B4-BE49-F238E27FC236}">
              <a16:creationId xmlns:a16="http://schemas.microsoft.com/office/drawing/2014/main" id="{F078E8E6-1926-4F47-B6BB-E1001E3CA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219892</xdr:colOff>
      <xdr:row>23</xdr:row>
      <xdr:rowOff>60960</xdr:rowOff>
    </xdr:from>
    <xdr:to>
      <xdr:col>17</xdr:col>
      <xdr:colOff>426720</xdr:colOff>
      <xdr:row>37</xdr:row>
      <xdr:rowOff>162560</xdr:rowOff>
    </xdr:to>
    <xdr:graphicFrame macro="">
      <xdr:nvGraphicFramePr>
        <xdr:cNvPr id="6" name="Chart 5">
          <a:extLst>
            <a:ext uri="{FF2B5EF4-FFF2-40B4-BE49-F238E27FC236}">
              <a16:creationId xmlns:a16="http://schemas.microsoft.com/office/drawing/2014/main" id="{727F7C33-EEAA-4759-B3A6-3DDF0737F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40640</xdr:colOff>
      <xdr:row>23</xdr:row>
      <xdr:rowOff>30480</xdr:rowOff>
    </xdr:from>
    <xdr:to>
      <xdr:col>28</xdr:col>
      <xdr:colOff>193040</xdr:colOff>
      <xdr:row>37</xdr:row>
      <xdr:rowOff>142240</xdr:rowOff>
    </xdr:to>
    <xdr:graphicFrame macro="">
      <xdr:nvGraphicFramePr>
        <xdr:cNvPr id="7" name="Chart 6">
          <a:extLst>
            <a:ext uri="{FF2B5EF4-FFF2-40B4-BE49-F238E27FC236}">
              <a16:creationId xmlns:a16="http://schemas.microsoft.com/office/drawing/2014/main" id="{AD676B94-17C0-4461-9F7F-D3B03E96D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274320</xdr:colOff>
      <xdr:row>7</xdr:row>
      <xdr:rowOff>152400</xdr:rowOff>
    </xdr:from>
    <xdr:to>
      <xdr:col>30</xdr:col>
      <xdr:colOff>589280</xdr:colOff>
      <xdr:row>21</xdr:row>
      <xdr:rowOff>111760</xdr:rowOff>
    </xdr:to>
    <xdr:graphicFrame macro="">
      <xdr:nvGraphicFramePr>
        <xdr:cNvPr id="8" name="Chart 7">
          <a:extLst>
            <a:ext uri="{FF2B5EF4-FFF2-40B4-BE49-F238E27FC236}">
              <a16:creationId xmlns:a16="http://schemas.microsoft.com/office/drawing/2014/main" id="{BB7C4AFE-C73C-453B-91E3-89F5BD41C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28</xdr:col>
      <xdr:colOff>314960</xdr:colOff>
      <xdr:row>32</xdr:row>
      <xdr:rowOff>111761</xdr:rowOff>
    </xdr:from>
    <xdr:to>
      <xdr:col>30</xdr:col>
      <xdr:colOff>579120</xdr:colOff>
      <xdr:row>37</xdr:row>
      <xdr:rowOff>132081</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B89B0A69-5B65-892C-0815-752BE257F88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7383760" y="5963921"/>
              <a:ext cx="1483360" cy="934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182880</xdr:colOff>
      <xdr:row>3</xdr:row>
      <xdr:rowOff>33020</xdr:rowOff>
    </xdr:from>
    <xdr:to>
      <xdr:col>28</xdr:col>
      <xdr:colOff>406080</xdr:colOff>
      <xdr:row>7</xdr:row>
      <xdr:rowOff>93500</xdr:rowOff>
    </xdr:to>
    <mc:AlternateContent xmlns:mc="http://schemas.openxmlformats.org/markup-compatibility/2006" xmlns:a14="http://schemas.microsoft.com/office/drawing/2010/main">
      <mc:Choice Requires="a14">
        <xdr:graphicFrame macro="">
          <xdr:nvGraphicFramePr>
            <xdr:cNvPr id="13" name="AGE">
              <a:extLst>
                <a:ext uri="{FF2B5EF4-FFF2-40B4-BE49-F238E27FC236}">
                  <a16:creationId xmlns:a16="http://schemas.microsoft.com/office/drawing/2014/main" id="{B8E03471-CA59-49F7-256A-3AF4C405195A}"/>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5422880" y="581660"/>
              <a:ext cx="2052000" cy="7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505460</xdr:colOff>
      <xdr:row>3</xdr:row>
      <xdr:rowOff>30480</xdr:rowOff>
    </xdr:from>
    <xdr:to>
      <xdr:col>25</xdr:col>
      <xdr:colOff>132080</xdr:colOff>
      <xdr:row>7</xdr:row>
      <xdr:rowOff>90960</xdr:rowOff>
    </xdr:to>
    <mc:AlternateContent xmlns:mc="http://schemas.openxmlformats.org/markup-compatibility/2006" xmlns:a14="http://schemas.microsoft.com/office/drawing/2010/main">
      <mc:Choice Requires="a14">
        <xdr:graphicFrame macro="">
          <xdr:nvGraphicFramePr>
            <xdr:cNvPr id="14" name="COURSE">
              <a:extLst>
                <a:ext uri="{FF2B5EF4-FFF2-40B4-BE49-F238E27FC236}">
                  <a16:creationId xmlns:a16="http://schemas.microsoft.com/office/drawing/2014/main" id="{E496C4EC-794E-38F2-724B-E1702995CE88}"/>
                </a:ext>
              </a:extLst>
            </xdr:cNvPr>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mlns="">
        <xdr:sp macro="" textlink="">
          <xdr:nvSpPr>
            <xdr:cNvPr id="0" name=""/>
            <xdr:cNvSpPr>
              <a:spLocks noTextEdit="1"/>
            </xdr:cNvSpPr>
          </xdr:nvSpPr>
          <xdr:spPr>
            <a:xfrm>
              <a:off x="13307060" y="579120"/>
              <a:ext cx="2065020" cy="7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477520</xdr:colOff>
      <xdr:row>3</xdr:row>
      <xdr:rowOff>38100</xdr:rowOff>
    </xdr:from>
    <xdr:to>
      <xdr:col>30</xdr:col>
      <xdr:colOff>593200</xdr:colOff>
      <xdr:row>7</xdr:row>
      <xdr:rowOff>101599</xdr:rowOff>
    </xdr:to>
    <mc:AlternateContent xmlns:mc="http://schemas.openxmlformats.org/markup-compatibility/2006" xmlns:a14="http://schemas.microsoft.com/office/drawing/2010/main">
      <mc:Choice Requires="a14">
        <xdr:graphicFrame macro="">
          <xdr:nvGraphicFramePr>
            <xdr:cNvPr id="15" name="SEMESTER">
              <a:extLst>
                <a:ext uri="{FF2B5EF4-FFF2-40B4-BE49-F238E27FC236}">
                  <a16:creationId xmlns:a16="http://schemas.microsoft.com/office/drawing/2014/main" id="{3A57E5BA-0EF9-993D-72FD-D7A2D59AF2CE}"/>
                </a:ext>
              </a:extLst>
            </xdr:cNvPr>
            <xdr:cNvGraphicFramePr/>
          </xdr:nvGraphicFramePr>
          <xdr:xfrm>
            <a:off x="0" y="0"/>
            <a:ext cx="0" cy="0"/>
          </xdr:xfrm>
          <a:graphic>
            <a:graphicData uri="http://schemas.microsoft.com/office/drawing/2010/slicer">
              <sle:slicer xmlns:sle="http://schemas.microsoft.com/office/drawing/2010/slicer" name="SEMESTER"/>
            </a:graphicData>
          </a:graphic>
        </xdr:graphicFrame>
      </mc:Choice>
      <mc:Fallback xmlns="">
        <xdr:sp macro="" textlink="">
          <xdr:nvSpPr>
            <xdr:cNvPr id="0" name=""/>
            <xdr:cNvSpPr>
              <a:spLocks noTextEdit="1"/>
            </xdr:cNvSpPr>
          </xdr:nvSpPr>
          <xdr:spPr>
            <a:xfrm>
              <a:off x="17546320" y="586740"/>
              <a:ext cx="1334880" cy="795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325120</xdr:colOff>
      <xdr:row>22</xdr:row>
      <xdr:rowOff>2540</xdr:rowOff>
    </xdr:from>
    <xdr:to>
      <xdr:col>30</xdr:col>
      <xdr:colOff>589280</xdr:colOff>
      <xdr:row>32</xdr:row>
      <xdr:rowOff>30480</xdr:rowOff>
    </xdr:to>
    <mc:AlternateContent xmlns:mc="http://schemas.openxmlformats.org/markup-compatibility/2006" xmlns:a14="http://schemas.microsoft.com/office/drawing/2010/main">
      <mc:Choice Requires="a14">
        <xdr:graphicFrame macro="">
          <xdr:nvGraphicFramePr>
            <xdr:cNvPr id="18" name="PERFORMANCE">
              <a:extLst>
                <a:ext uri="{FF2B5EF4-FFF2-40B4-BE49-F238E27FC236}">
                  <a16:creationId xmlns:a16="http://schemas.microsoft.com/office/drawing/2014/main" id="{8996D8DB-67CF-6695-2398-DC4B54157FDD}"/>
                </a:ext>
              </a:extLst>
            </xdr:cNvPr>
            <xdr:cNvGraphicFramePr/>
          </xdr:nvGraphicFramePr>
          <xdr:xfrm>
            <a:off x="0" y="0"/>
            <a:ext cx="0" cy="0"/>
          </xdr:xfrm>
          <a:graphic>
            <a:graphicData uri="http://schemas.microsoft.com/office/drawing/2010/slicer">
              <sle:slicer xmlns:sle="http://schemas.microsoft.com/office/drawing/2010/slicer" name="PERFORMANCE"/>
            </a:graphicData>
          </a:graphic>
        </xdr:graphicFrame>
      </mc:Choice>
      <mc:Fallback xmlns="">
        <xdr:sp macro="" textlink="">
          <xdr:nvSpPr>
            <xdr:cNvPr id="0" name=""/>
            <xdr:cNvSpPr>
              <a:spLocks noTextEdit="1"/>
            </xdr:cNvSpPr>
          </xdr:nvSpPr>
          <xdr:spPr>
            <a:xfrm>
              <a:off x="17393920" y="4025900"/>
              <a:ext cx="1483360" cy="1856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345440</xdr:colOff>
      <xdr:row>3</xdr:row>
      <xdr:rowOff>20320</xdr:rowOff>
    </xdr:from>
    <xdr:to>
      <xdr:col>5</xdr:col>
      <xdr:colOff>335280</xdr:colOff>
      <xdr:row>7</xdr:row>
      <xdr:rowOff>30480</xdr:rowOff>
    </xdr:to>
    <xdr:sp macro="" textlink="">
      <xdr:nvSpPr>
        <xdr:cNvPr id="23" name="Rectangle 22">
          <a:extLst>
            <a:ext uri="{FF2B5EF4-FFF2-40B4-BE49-F238E27FC236}">
              <a16:creationId xmlns:a16="http://schemas.microsoft.com/office/drawing/2014/main" id="{996011C6-ACAD-BB9A-2D9A-AD1A0CEEB566}"/>
            </a:ext>
          </a:extLst>
        </xdr:cNvPr>
        <xdr:cNvSpPr/>
      </xdr:nvSpPr>
      <xdr:spPr>
        <a:xfrm>
          <a:off x="345440" y="568960"/>
          <a:ext cx="3037840" cy="7416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          TOTAL STUDENTS         </a:t>
          </a:r>
        </a:p>
        <a:p>
          <a:pPr algn="l"/>
          <a:r>
            <a:rPr lang="en-IN" sz="1800" b="1"/>
            <a:t>                      300</a:t>
          </a:r>
        </a:p>
      </xdr:txBody>
    </xdr:sp>
    <xdr:clientData/>
  </xdr:twoCellAnchor>
  <xdr:twoCellAnchor>
    <xdr:from>
      <xdr:col>11</xdr:col>
      <xdr:colOff>551254</xdr:colOff>
      <xdr:row>3</xdr:row>
      <xdr:rowOff>34302</xdr:rowOff>
    </xdr:from>
    <xdr:to>
      <xdr:col>16</xdr:col>
      <xdr:colOff>121920</xdr:colOff>
      <xdr:row>7</xdr:row>
      <xdr:rowOff>60960</xdr:rowOff>
    </xdr:to>
    <xdr:sp macro="" textlink="">
      <xdr:nvSpPr>
        <xdr:cNvPr id="24" name="Rectangle 23">
          <a:extLst>
            <a:ext uri="{FF2B5EF4-FFF2-40B4-BE49-F238E27FC236}">
              <a16:creationId xmlns:a16="http://schemas.microsoft.com/office/drawing/2014/main" id="{12D9E595-45B0-D91D-BA34-4AA66F60A12D}"/>
            </a:ext>
          </a:extLst>
        </xdr:cNvPr>
        <xdr:cNvSpPr/>
      </xdr:nvSpPr>
      <xdr:spPr>
        <a:xfrm>
          <a:off x="7256854" y="582942"/>
          <a:ext cx="2618666" cy="75817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800" b="1"/>
            <a:t>PASSED   </a:t>
          </a:r>
        </a:p>
        <a:p>
          <a:pPr algn="l"/>
          <a:r>
            <a:rPr lang="en-IN" sz="1800" b="1"/>
            <a:t>                     79</a:t>
          </a:r>
        </a:p>
      </xdr:txBody>
    </xdr:sp>
    <xdr:clientData/>
  </xdr:twoCellAnchor>
  <xdr:twoCellAnchor>
    <xdr:from>
      <xdr:col>17</xdr:col>
      <xdr:colOff>101600</xdr:colOff>
      <xdr:row>3</xdr:row>
      <xdr:rowOff>44060</xdr:rowOff>
    </xdr:from>
    <xdr:to>
      <xdr:col>21</xdr:col>
      <xdr:colOff>101599</xdr:colOff>
      <xdr:row>7</xdr:row>
      <xdr:rowOff>60960</xdr:rowOff>
    </xdr:to>
    <xdr:sp macro="" textlink="">
      <xdr:nvSpPr>
        <xdr:cNvPr id="25" name="Rectangle 24">
          <a:extLst>
            <a:ext uri="{FF2B5EF4-FFF2-40B4-BE49-F238E27FC236}">
              <a16:creationId xmlns:a16="http://schemas.microsoft.com/office/drawing/2014/main" id="{2AD44F02-A0D8-E392-DFD3-120CFD2627CA}"/>
            </a:ext>
          </a:extLst>
        </xdr:cNvPr>
        <xdr:cNvSpPr/>
      </xdr:nvSpPr>
      <xdr:spPr>
        <a:xfrm>
          <a:off x="10464800" y="592700"/>
          <a:ext cx="2438399" cy="748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800" b="1"/>
            <a:t>FAILED</a:t>
          </a:r>
        </a:p>
        <a:p>
          <a:pPr algn="l"/>
          <a:r>
            <a:rPr lang="en-IN" sz="1800" b="1"/>
            <a:t>                  221  </a:t>
          </a:r>
        </a:p>
      </xdr:txBody>
    </xdr:sp>
    <xdr:clientData/>
  </xdr:twoCellAnchor>
  <xdr:twoCellAnchor>
    <xdr:from>
      <xdr:col>6</xdr:col>
      <xdr:colOff>254000</xdr:colOff>
      <xdr:row>3</xdr:row>
      <xdr:rowOff>20320</xdr:rowOff>
    </xdr:from>
    <xdr:to>
      <xdr:col>11</xdr:col>
      <xdr:colOff>71120</xdr:colOff>
      <xdr:row>7</xdr:row>
      <xdr:rowOff>60960</xdr:rowOff>
    </xdr:to>
    <xdr:sp macro="" textlink="">
      <xdr:nvSpPr>
        <xdr:cNvPr id="26" name="Rectangle 25">
          <a:extLst>
            <a:ext uri="{FF2B5EF4-FFF2-40B4-BE49-F238E27FC236}">
              <a16:creationId xmlns:a16="http://schemas.microsoft.com/office/drawing/2014/main" id="{4142A4A5-B5F8-5B8A-E5F7-CC927D3947EA}"/>
            </a:ext>
          </a:extLst>
        </xdr:cNvPr>
        <xdr:cNvSpPr/>
      </xdr:nvSpPr>
      <xdr:spPr>
        <a:xfrm>
          <a:off x="3911600" y="568960"/>
          <a:ext cx="2865120" cy="7721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      PLACED STUDENTS</a:t>
          </a:r>
        </a:p>
        <a:p>
          <a:pPr algn="l"/>
          <a:r>
            <a:rPr lang="en-IN" sz="1800" b="1"/>
            <a:t>                    79</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3.617104166668" createdVersion="8" refreshedVersion="8" minRefreshableVersion="3" recordCount="301" xr:uid="{B1678698-297F-48B0-895D-F031F90F3D51}">
  <cacheSource type="worksheet">
    <worksheetSource ref="A1:U1048576" sheet="ROW DATA"/>
  </cacheSource>
  <cacheFields count="20">
    <cacheField name="STUDENT ID" numFmtId="0">
      <sharedItems containsBlank="1"/>
    </cacheField>
    <cacheField name="GENDER" numFmtId="0">
      <sharedItems containsBlank="1" count="3">
        <s v="Male"/>
        <s v="Female"/>
        <m/>
      </sharedItems>
    </cacheField>
    <cacheField name="AGE" numFmtId="0">
      <sharedItems containsString="0" containsBlank="1" containsNumber="1" containsInteger="1" minValue="21" maxValue="24"/>
    </cacheField>
    <cacheField name="COURSE" numFmtId="0">
      <sharedItems containsBlank="1"/>
    </cacheField>
    <cacheField name="SEMESTER" numFmtId="0">
      <sharedItems containsString="0" containsBlank="1" containsNumber="1" containsInteger="1" minValue="7" maxValue="8"/>
    </cacheField>
    <cacheField name="ATTENDENCE %" numFmtId="0">
      <sharedItems containsString="0" containsBlank="1" containsNumber="1" containsInteger="1" minValue="25" maxValue="95"/>
    </cacheField>
    <cacheField name="STUDY HOURS" numFmtId="0">
      <sharedItems containsString="0" containsBlank="1" containsNumber="1" minValue="1" maxValue="6"/>
    </cacheField>
    <cacheField name="ASSIGNMENT SCORE" numFmtId="0">
      <sharedItems containsString="0" containsBlank="1" containsNumber="1" containsInteger="1" minValue="50" maxValue="100"/>
    </cacheField>
    <cacheField name="INTERNAL MARKS" numFmtId="0">
      <sharedItems containsString="0" containsBlank="1" containsNumber="1" containsInteger="1" minValue="18" maxValue="50"/>
    </cacheField>
    <cacheField name="SUB 1" numFmtId="0">
      <sharedItems containsString="0" containsBlank="1" containsNumber="1" containsInteger="1" minValue="10" maxValue="95"/>
    </cacheField>
    <cacheField name="SUB 2" numFmtId="0">
      <sharedItems containsString="0" containsBlank="1" containsNumber="1" containsInteger="1" minValue="10" maxValue="95"/>
    </cacheField>
    <cacheField name="SUB 3" numFmtId="0">
      <sharedItems containsString="0" containsBlank="1" containsNumber="1" containsInteger="1" minValue="20" maxValue="97"/>
    </cacheField>
    <cacheField name="SUB 4" numFmtId="0">
      <sharedItems containsString="0" containsBlank="1" containsNumber="1" containsInteger="1" minValue="50" maxValue="100"/>
    </cacheField>
    <cacheField name="SUB 5" numFmtId="0">
      <sharedItems containsString="0" containsBlank="1" containsNumber="1" containsInteger="1" minValue="30" maxValue="100"/>
    </cacheField>
    <cacheField name="OVERALL %" numFmtId="0">
      <sharedItems containsString="0" containsBlank="1" containsNumber="1" minValue="39.200000000000003" maxValue="86.2"/>
    </cacheField>
    <cacheField name="RESULT" numFmtId="0">
      <sharedItems containsBlank="1"/>
    </cacheField>
    <cacheField name="GRADE" numFmtId="0">
      <sharedItems containsBlank="1"/>
    </cacheField>
    <cacheField name="BACKLOGS" numFmtId="0">
      <sharedItems containsString="0" containsBlank="1" containsNumber="1" containsInteger="1" minValue="0" maxValue="4"/>
    </cacheField>
    <cacheField name="PERFORMANCE" numFmtId="0">
      <sharedItems containsBlank="1" count="5">
        <s v="GOOD"/>
        <s v="AVERAGE"/>
        <s v="EXCELLENT"/>
        <s v="POOR"/>
        <m/>
      </sharedItems>
    </cacheField>
    <cacheField name="PLACEMENT STATUS" numFmtId="0">
      <sharedItems containsBlank="1" count="3">
        <s v="YES"/>
        <s v="NO"/>
        <m/>
      </sharedItems>
    </cacheField>
  </cacheFields>
  <extLst>
    <ext xmlns:x14="http://schemas.microsoft.com/office/spreadsheetml/2009/9/main" uri="{725AE2AE-9491-48be-B2B4-4EB974FC3084}">
      <x14:pivotCacheDefinition pivotCacheId="18075205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3.632597800926" createdVersion="8" refreshedVersion="8" minRefreshableVersion="3" recordCount="300" xr:uid="{8A0BDBC8-D811-4201-90FA-DB86F84C5B4B}">
  <cacheSource type="worksheet">
    <worksheetSource ref="A1:U301" sheet="ROW DATA"/>
  </cacheSource>
  <cacheFields count="20">
    <cacheField name="STUDENT ID" numFmtId="0">
      <sharedItems count="300">
        <s v="ST001"/>
        <s v="ST002"/>
        <s v="ST003"/>
        <s v="ST004"/>
        <s v="ST005"/>
        <s v="ST006"/>
        <s v="ST007"/>
        <s v="ST008"/>
        <s v="ST009"/>
        <s v="ST010"/>
        <s v="ST011"/>
        <s v="ST012"/>
        <s v="ST013"/>
        <s v="ST014"/>
        <s v="ST015"/>
        <s v="ST016"/>
        <s v="ST017"/>
        <s v="ST018"/>
        <s v="ST019"/>
        <s v="ST020"/>
        <s v="ST021"/>
        <s v="ST022"/>
        <s v="ST023"/>
        <s v="ST024"/>
        <s v="ST025"/>
        <s v="ST026"/>
        <s v="ST027"/>
        <s v="ST028"/>
        <s v="ST029"/>
        <s v="ST030"/>
        <s v="ST031"/>
        <s v="ST032"/>
        <s v="ST033"/>
        <s v="ST034"/>
        <s v="ST035"/>
        <s v="ST036"/>
        <s v="ST037"/>
        <s v="ST038"/>
        <s v="ST039"/>
        <s v="ST040"/>
        <s v="ST041"/>
        <s v="ST042"/>
        <s v="ST043"/>
        <s v="ST044"/>
        <s v="ST045"/>
        <s v="ST046"/>
        <s v="ST047"/>
        <s v="ST048"/>
        <s v="ST049"/>
        <s v="ST050"/>
        <s v="ST051"/>
        <s v="ST052"/>
        <s v="ST053"/>
        <s v="ST054"/>
        <s v="ST055"/>
        <s v="ST056"/>
        <s v="ST057"/>
        <s v="ST058"/>
        <s v="ST059"/>
        <s v="ST060"/>
        <s v="ST061"/>
        <s v="ST062"/>
        <s v="ST063"/>
        <s v="ST064"/>
        <s v="ST065"/>
        <s v="ST066"/>
        <s v="ST067"/>
        <s v="ST068"/>
        <s v="ST069"/>
        <s v="ST070"/>
        <s v="ST071"/>
        <s v="ST072"/>
        <s v="ST073"/>
        <s v="ST074"/>
        <s v="ST075"/>
        <s v="ST076"/>
        <s v="ST077"/>
        <s v="ST078"/>
        <s v="ST079"/>
        <s v="ST080"/>
        <s v="ST081"/>
        <s v="ST082"/>
        <s v="ST083"/>
        <s v="ST084"/>
        <s v="ST085"/>
        <s v="ST086"/>
        <s v="ST087"/>
        <s v="ST088"/>
        <s v="ST089"/>
        <s v="ST090"/>
        <s v="ST091"/>
        <s v="ST092"/>
        <s v="ST093"/>
        <s v="ST094"/>
        <s v="ST095"/>
        <s v="ST096"/>
        <s v="ST097"/>
        <s v="ST098"/>
        <s v="ST099"/>
        <s v="ST100"/>
        <s v="ST101"/>
        <s v="ST102"/>
        <s v="ST103"/>
        <s v="ST104"/>
        <s v="ST105"/>
        <s v="ST106"/>
        <s v="ST107"/>
        <s v="ST108"/>
        <s v="ST109"/>
        <s v="ST110"/>
        <s v="ST111"/>
        <s v="ST112"/>
        <s v="ST113"/>
        <s v="ST114"/>
        <s v="ST115"/>
        <s v="ST116"/>
        <s v="ST117"/>
        <s v="ST118"/>
        <s v="ST119"/>
        <s v="ST120"/>
        <s v="ST121"/>
        <s v="ST122"/>
        <s v="ST123"/>
        <s v="ST124"/>
        <s v="ST125"/>
        <s v="ST126"/>
        <s v="ST127"/>
        <s v="ST128"/>
        <s v="ST129"/>
        <s v="ST130"/>
        <s v="ST131"/>
        <s v="ST132"/>
        <s v="ST133"/>
        <s v="ST134"/>
        <s v="ST135"/>
        <s v="ST136"/>
        <s v="ST137"/>
        <s v="ST138"/>
        <s v="ST139"/>
        <s v="ST140"/>
        <s v="ST141"/>
        <s v="ST142"/>
        <s v="ST143"/>
        <s v="ST144"/>
        <s v="ST145"/>
        <s v="ST146"/>
        <s v="ST147"/>
        <s v="ST148"/>
        <s v="ST149"/>
        <s v="ST150"/>
        <s v="ST151"/>
        <s v="ST152"/>
        <s v="ST153"/>
        <s v="ST154"/>
        <s v="ST155"/>
        <s v="ST156"/>
        <s v="ST157"/>
        <s v="ST158"/>
        <s v="ST159"/>
        <s v="ST160"/>
        <s v="ST161"/>
        <s v="ST162"/>
        <s v="ST163"/>
        <s v="ST164"/>
        <s v="ST165"/>
        <s v="ST166"/>
        <s v="ST167"/>
        <s v="ST168"/>
        <s v="ST169"/>
        <s v="ST170"/>
        <s v="ST171"/>
        <s v="ST172"/>
        <s v="ST173"/>
        <s v="ST174"/>
        <s v="ST175"/>
        <s v="ST176"/>
        <s v="ST177"/>
        <s v="ST178"/>
        <s v="ST179"/>
        <s v="ST180"/>
        <s v="ST181"/>
        <s v="ST182"/>
        <s v="ST183"/>
        <s v="ST184"/>
        <s v="ST185"/>
        <s v="ST186"/>
        <s v="ST187"/>
        <s v="ST188"/>
        <s v="ST189"/>
        <s v="ST190"/>
        <s v="ST191"/>
        <s v="ST192"/>
        <s v="ST193"/>
        <s v="ST194"/>
        <s v="ST195"/>
        <s v="ST196"/>
        <s v="ST197"/>
        <s v="ST198"/>
        <s v="ST199"/>
        <s v="ST200"/>
        <s v="ST201"/>
        <s v="ST202"/>
        <s v="ST203"/>
        <s v="ST204"/>
        <s v="ST205"/>
        <s v="ST206"/>
        <s v="ST207"/>
        <s v="ST208"/>
        <s v="ST209"/>
        <s v="ST210"/>
        <s v="ST211"/>
        <s v="ST212"/>
        <s v="ST213"/>
        <s v="ST214"/>
        <s v="ST215"/>
        <s v="ST216"/>
        <s v="ST217"/>
        <s v="ST218"/>
        <s v="ST219"/>
        <s v="ST220"/>
        <s v="ST221"/>
        <s v="ST222"/>
        <s v="ST223"/>
        <s v="ST224"/>
        <s v="ST225"/>
        <s v="ST226"/>
        <s v="ST227"/>
        <s v="ST228"/>
        <s v="ST229"/>
        <s v="ST230"/>
        <s v="ST231"/>
        <s v="ST232"/>
        <s v="ST233"/>
        <s v="ST234"/>
        <s v="ST235"/>
        <s v="ST236"/>
        <s v="ST237"/>
        <s v="ST238"/>
        <s v="ST239"/>
        <s v="ST240"/>
        <s v="ST241"/>
        <s v="ST242"/>
        <s v="ST243"/>
        <s v="ST244"/>
        <s v="ST245"/>
        <s v="ST246"/>
        <s v="ST247"/>
        <s v="ST248"/>
        <s v="ST249"/>
        <s v="ST250"/>
        <s v="ST251"/>
        <s v="ST252"/>
        <s v="ST253"/>
        <s v="ST254"/>
        <s v="ST255"/>
        <s v="ST256"/>
        <s v="ST257"/>
        <s v="ST258"/>
        <s v="ST259"/>
        <s v="ST260"/>
        <s v="ST261"/>
        <s v="ST262"/>
        <s v="ST263"/>
        <s v="ST264"/>
        <s v="ST265"/>
        <s v="ST266"/>
        <s v="ST267"/>
        <s v="ST268"/>
        <s v="ST269"/>
        <s v="ST270"/>
        <s v="ST271"/>
        <s v="ST272"/>
        <s v="ST273"/>
        <s v="ST274"/>
        <s v="ST275"/>
        <s v="ST276"/>
        <s v="ST277"/>
        <s v="ST278"/>
        <s v="ST279"/>
        <s v="ST280"/>
        <s v="ST281"/>
        <s v="ST282"/>
        <s v="ST283"/>
        <s v="ST284"/>
        <s v="ST285"/>
        <s v="ST286"/>
        <s v="ST287"/>
        <s v="ST288"/>
        <s v="ST289"/>
        <s v="ST290"/>
        <s v="ST291"/>
        <s v="ST292"/>
        <s v="ST293"/>
        <s v="ST294"/>
        <s v="ST295"/>
        <s v="ST296"/>
        <s v="ST297"/>
        <s v="ST298"/>
        <s v="ST299"/>
        <s v="ST300"/>
      </sharedItems>
    </cacheField>
    <cacheField name="GENDER" numFmtId="0">
      <sharedItems count="2">
        <s v="Male"/>
        <s v="Female"/>
      </sharedItems>
    </cacheField>
    <cacheField name="AGE" numFmtId="0">
      <sharedItems containsSemiMixedTypes="0" containsString="0" containsNumber="1" containsInteger="1" minValue="21" maxValue="24" count="4">
        <n v="24"/>
        <n v="23"/>
        <n v="22"/>
        <n v="21"/>
      </sharedItems>
    </cacheField>
    <cacheField name="COURSE" numFmtId="0">
      <sharedItems count="4">
        <s v="CSE"/>
        <s v="CIVIL"/>
        <s v="ME"/>
        <s v="ECE"/>
      </sharedItems>
    </cacheField>
    <cacheField name="SEMESTER" numFmtId="0">
      <sharedItems containsSemiMixedTypes="0" containsString="0" containsNumber="1" containsInteger="1" minValue="7" maxValue="8" count="2">
        <n v="8"/>
        <n v="7"/>
      </sharedItems>
    </cacheField>
    <cacheField name="ATTENDENCE %" numFmtId="0">
      <sharedItems containsSemiMixedTypes="0" containsString="0" containsNumber="1" containsInteger="1" minValue="23" maxValue="95" count="62">
        <n v="87"/>
        <n v="57"/>
        <n v="79"/>
        <n v="90"/>
        <n v="63"/>
        <n v="78"/>
        <n v="88"/>
        <n v="84"/>
        <n v="89"/>
        <n v="56"/>
        <n v="62"/>
        <n v="53"/>
        <n v="95"/>
        <n v="50"/>
        <n v="49"/>
        <n v="66"/>
        <n v="34"/>
        <n v="82"/>
        <n v="51"/>
        <n v="77"/>
        <n v="41"/>
        <n v="86"/>
        <n v="65"/>
        <n v="52"/>
        <n v="45"/>
        <n v="94"/>
        <n v="83"/>
        <n v="92"/>
        <n v="80"/>
        <n v="47"/>
        <n v="93"/>
        <n v="54"/>
        <n v="85"/>
        <n v="64"/>
        <n v="72"/>
        <n v="43"/>
        <n v="61"/>
        <n v="59"/>
        <n v="91"/>
        <n v="23"/>
        <n v="44"/>
        <n v="27"/>
        <n v="75"/>
        <n v="48"/>
        <n v="81"/>
        <n v="46"/>
        <n v="55"/>
        <n v="60"/>
        <n v="36"/>
        <n v="40"/>
        <n v="70"/>
        <n v="73"/>
        <n v="42"/>
        <n v="74"/>
        <n v="67"/>
        <n v="69"/>
        <n v="71"/>
        <n v="76"/>
        <n v="58"/>
        <n v="68"/>
        <n v="28"/>
        <n v="29"/>
      </sharedItems>
    </cacheField>
    <cacheField name="STUDY HOURS" numFmtId="0">
      <sharedItems containsSemiMixedTypes="0" containsString="0" containsNumber="1" minValue="1" maxValue="6"/>
    </cacheField>
    <cacheField name="ASSIGNMENT SCORE" numFmtId="0">
      <sharedItems containsSemiMixedTypes="0" containsString="0" containsNumber="1" containsInteger="1" minValue="50" maxValue="100"/>
    </cacheField>
    <cacheField name="INTERNAL MARKS" numFmtId="0">
      <sharedItems containsSemiMixedTypes="0" containsString="0" containsNumber="1" containsInteger="1" minValue="18" maxValue="50"/>
    </cacheField>
    <cacheField name="SUB 1" numFmtId="0">
      <sharedItems containsSemiMixedTypes="0" containsString="0" containsNumber="1" containsInteger="1" minValue="10" maxValue="95"/>
    </cacheField>
    <cacheField name="SUB 2" numFmtId="0">
      <sharedItems containsSemiMixedTypes="0" containsString="0" containsNumber="1" containsInteger="1" minValue="10" maxValue="95"/>
    </cacheField>
    <cacheField name="SUB 3" numFmtId="0">
      <sharedItems containsSemiMixedTypes="0" containsString="0" containsNumber="1" containsInteger="1" minValue="20" maxValue="97"/>
    </cacheField>
    <cacheField name="SUB 4" numFmtId="0">
      <sharedItems containsSemiMixedTypes="0" containsString="0" containsNumber="1" containsInteger="1" minValue="50" maxValue="100"/>
    </cacheField>
    <cacheField name="SUB 5" numFmtId="0">
      <sharedItems containsSemiMixedTypes="0" containsString="0" containsNumber="1" containsInteger="1" minValue="30" maxValue="100"/>
    </cacheField>
    <cacheField name="OVERALL %" numFmtId="0">
      <sharedItems containsSemiMixedTypes="0" containsString="0" containsNumber="1" minValue="39.200000000000003" maxValue="86.2"/>
    </cacheField>
    <cacheField name="RESULT" numFmtId="0">
      <sharedItems count="2">
        <s v="Pass"/>
        <s v="Fail"/>
      </sharedItems>
    </cacheField>
    <cacheField name="GRADE" numFmtId="0">
      <sharedItems/>
    </cacheField>
    <cacheField name="BACKLOGS" numFmtId="0">
      <sharedItems containsSemiMixedTypes="0" containsString="0" containsNumber="1" containsInteger="1" minValue="0" maxValue="4" count="5">
        <n v="0"/>
        <n v="2"/>
        <n v="1"/>
        <n v="3"/>
        <n v="4"/>
      </sharedItems>
    </cacheField>
    <cacheField name="PERFORMANCE" numFmtId="0">
      <sharedItems/>
    </cacheField>
    <cacheField name="PLACEMENT STATUS" numFmtId="0">
      <sharedItems count="2">
        <s v="YES"/>
        <s v="NO"/>
      </sharedItems>
    </cacheField>
  </cacheFields>
  <extLst>
    <ext xmlns:x14="http://schemas.microsoft.com/office/spreadsheetml/2009/9/main" uri="{725AE2AE-9491-48be-B2B4-4EB974FC3084}">
      <x14:pivotCacheDefinition pivotCacheId="44830238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3.661808217592" createdVersion="8" refreshedVersion="8" minRefreshableVersion="3" recordCount="5" xr:uid="{324885A6-DDC6-457B-8B5A-1204B0408498}">
  <cacheSource type="worksheet">
    <worksheetSource ref="W1:X6" sheet="ROW DATA"/>
  </cacheSource>
  <cacheFields count="2">
    <cacheField name="SUBJECT" numFmtId="0">
      <sharedItems count="5">
        <s v="MATHS"/>
        <s v="DBMS"/>
        <s v="PYTHON"/>
        <s v="COMPUTER NETWORKS"/>
        <s v="ENGLISH"/>
      </sharedItems>
    </cacheField>
    <cacheField name="AVERAGE" numFmtId="0">
      <sharedItems containsSemiMixedTypes="0" containsString="0" containsNumber="1" minValue="49.39" maxValue="76.266666666666666" count="5">
        <n v="49.39"/>
        <n v="54.176666666666669"/>
        <n v="59.413333333333334"/>
        <n v="76.266666666666666"/>
        <n v="66.663333333333327"/>
      </sharedItems>
    </cacheField>
  </cacheFields>
  <extLst>
    <ext xmlns:x14="http://schemas.microsoft.com/office/spreadsheetml/2009/9/main" uri="{725AE2AE-9491-48be-B2B4-4EB974FC3084}">
      <x14:pivotCacheDefinition pivotCacheId="199842286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3.677696990744" createdVersion="8" refreshedVersion="8" minRefreshableVersion="3" recordCount="301" xr:uid="{799025CE-42DD-46E3-9868-4EA9A2DF42EF}">
  <cacheSource type="worksheet">
    <worksheetSource ref="A1:AA1048576" sheet="ROW DATA"/>
  </cacheSource>
  <cacheFields count="27">
    <cacheField name="STUDENT ID" numFmtId="0">
      <sharedItems containsBlank="1" count="301">
        <s v="ST001"/>
        <s v="ST002"/>
        <s v="ST003"/>
        <s v="ST004"/>
        <s v="ST005"/>
        <s v="ST006"/>
        <s v="ST007"/>
        <s v="ST008"/>
        <s v="ST009"/>
        <s v="ST010"/>
        <s v="ST011"/>
        <s v="ST012"/>
        <s v="ST013"/>
        <s v="ST014"/>
        <s v="ST015"/>
        <s v="ST016"/>
        <s v="ST017"/>
        <s v="ST018"/>
        <s v="ST019"/>
        <s v="ST020"/>
        <s v="ST021"/>
        <s v="ST022"/>
        <s v="ST023"/>
        <s v="ST024"/>
        <s v="ST025"/>
        <s v="ST026"/>
        <s v="ST027"/>
        <s v="ST028"/>
        <s v="ST029"/>
        <s v="ST030"/>
        <s v="ST031"/>
        <s v="ST032"/>
        <s v="ST033"/>
        <s v="ST034"/>
        <s v="ST035"/>
        <s v="ST036"/>
        <s v="ST037"/>
        <s v="ST038"/>
        <s v="ST039"/>
        <s v="ST040"/>
        <s v="ST041"/>
        <s v="ST042"/>
        <s v="ST043"/>
        <s v="ST044"/>
        <s v="ST045"/>
        <s v="ST046"/>
        <s v="ST047"/>
        <s v="ST048"/>
        <s v="ST049"/>
        <s v="ST050"/>
        <s v="ST051"/>
        <s v="ST052"/>
        <s v="ST053"/>
        <s v="ST054"/>
        <s v="ST055"/>
        <s v="ST056"/>
        <s v="ST057"/>
        <s v="ST058"/>
        <s v="ST059"/>
        <s v="ST060"/>
        <s v="ST061"/>
        <s v="ST062"/>
        <s v="ST063"/>
        <s v="ST064"/>
        <s v="ST065"/>
        <s v="ST066"/>
        <s v="ST067"/>
        <s v="ST068"/>
        <s v="ST069"/>
        <s v="ST070"/>
        <s v="ST071"/>
        <s v="ST072"/>
        <s v="ST073"/>
        <s v="ST074"/>
        <s v="ST075"/>
        <s v="ST076"/>
        <s v="ST077"/>
        <s v="ST078"/>
        <s v="ST079"/>
        <s v="ST080"/>
        <s v="ST081"/>
        <s v="ST082"/>
        <s v="ST083"/>
        <s v="ST084"/>
        <s v="ST085"/>
        <s v="ST086"/>
        <s v="ST087"/>
        <s v="ST088"/>
        <s v="ST089"/>
        <s v="ST090"/>
        <s v="ST091"/>
        <s v="ST092"/>
        <s v="ST093"/>
        <s v="ST094"/>
        <s v="ST095"/>
        <s v="ST096"/>
        <s v="ST097"/>
        <s v="ST098"/>
        <s v="ST099"/>
        <s v="ST100"/>
        <s v="ST101"/>
        <s v="ST102"/>
        <s v="ST103"/>
        <s v="ST104"/>
        <s v="ST105"/>
        <s v="ST106"/>
        <s v="ST107"/>
        <s v="ST108"/>
        <s v="ST109"/>
        <s v="ST110"/>
        <s v="ST111"/>
        <s v="ST112"/>
        <s v="ST113"/>
        <s v="ST114"/>
        <s v="ST115"/>
        <s v="ST116"/>
        <s v="ST117"/>
        <s v="ST118"/>
        <s v="ST119"/>
        <s v="ST120"/>
        <s v="ST121"/>
        <s v="ST122"/>
        <s v="ST123"/>
        <s v="ST124"/>
        <s v="ST125"/>
        <s v="ST126"/>
        <s v="ST127"/>
        <s v="ST128"/>
        <s v="ST129"/>
        <s v="ST130"/>
        <s v="ST131"/>
        <s v="ST132"/>
        <s v="ST133"/>
        <s v="ST134"/>
        <s v="ST135"/>
        <s v="ST136"/>
        <s v="ST137"/>
        <s v="ST138"/>
        <s v="ST139"/>
        <s v="ST140"/>
        <s v="ST141"/>
        <s v="ST142"/>
        <s v="ST143"/>
        <s v="ST144"/>
        <s v="ST145"/>
        <s v="ST146"/>
        <s v="ST147"/>
        <s v="ST148"/>
        <s v="ST149"/>
        <s v="ST150"/>
        <s v="ST151"/>
        <s v="ST152"/>
        <s v="ST153"/>
        <s v="ST154"/>
        <s v="ST155"/>
        <s v="ST156"/>
        <s v="ST157"/>
        <s v="ST158"/>
        <s v="ST159"/>
        <s v="ST160"/>
        <s v="ST161"/>
        <s v="ST162"/>
        <s v="ST163"/>
        <s v="ST164"/>
        <s v="ST165"/>
        <s v="ST166"/>
        <s v="ST167"/>
        <s v="ST168"/>
        <s v="ST169"/>
        <s v="ST170"/>
        <s v="ST171"/>
        <s v="ST172"/>
        <s v="ST173"/>
        <s v="ST174"/>
        <s v="ST175"/>
        <s v="ST176"/>
        <s v="ST177"/>
        <s v="ST178"/>
        <s v="ST179"/>
        <s v="ST180"/>
        <s v="ST181"/>
        <s v="ST182"/>
        <s v="ST183"/>
        <s v="ST184"/>
        <s v="ST185"/>
        <s v="ST186"/>
        <s v="ST187"/>
        <s v="ST188"/>
        <s v="ST189"/>
        <s v="ST190"/>
        <s v="ST191"/>
        <s v="ST192"/>
        <s v="ST193"/>
        <s v="ST194"/>
        <s v="ST195"/>
        <s v="ST196"/>
        <s v="ST197"/>
        <s v="ST198"/>
        <s v="ST199"/>
        <s v="ST200"/>
        <s v="ST201"/>
        <s v="ST202"/>
        <s v="ST203"/>
        <s v="ST204"/>
        <s v="ST205"/>
        <s v="ST206"/>
        <s v="ST207"/>
        <s v="ST208"/>
        <s v="ST209"/>
        <s v="ST210"/>
        <s v="ST211"/>
        <s v="ST212"/>
        <s v="ST213"/>
        <s v="ST214"/>
        <s v="ST215"/>
        <s v="ST216"/>
        <s v="ST217"/>
        <s v="ST218"/>
        <s v="ST219"/>
        <s v="ST220"/>
        <s v="ST221"/>
        <s v="ST222"/>
        <s v="ST223"/>
        <s v="ST224"/>
        <s v="ST225"/>
        <s v="ST226"/>
        <s v="ST227"/>
        <s v="ST228"/>
        <s v="ST229"/>
        <s v="ST230"/>
        <s v="ST231"/>
        <s v="ST232"/>
        <s v="ST233"/>
        <s v="ST234"/>
        <s v="ST235"/>
        <s v="ST236"/>
        <s v="ST237"/>
        <s v="ST238"/>
        <s v="ST239"/>
        <s v="ST240"/>
        <s v="ST241"/>
        <s v="ST242"/>
        <s v="ST243"/>
        <s v="ST244"/>
        <s v="ST245"/>
        <s v="ST246"/>
        <s v="ST247"/>
        <s v="ST248"/>
        <s v="ST249"/>
        <s v="ST250"/>
        <s v="ST251"/>
        <s v="ST252"/>
        <s v="ST253"/>
        <s v="ST254"/>
        <s v="ST255"/>
        <s v="ST256"/>
        <s v="ST257"/>
        <s v="ST258"/>
        <s v="ST259"/>
        <s v="ST260"/>
        <s v="ST261"/>
        <s v="ST262"/>
        <s v="ST263"/>
        <s v="ST264"/>
        <s v="ST265"/>
        <s v="ST266"/>
        <s v="ST267"/>
        <s v="ST268"/>
        <s v="ST269"/>
        <s v="ST270"/>
        <s v="ST271"/>
        <s v="ST272"/>
        <s v="ST273"/>
        <s v="ST274"/>
        <s v="ST275"/>
        <s v="ST276"/>
        <s v="ST277"/>
        <s v="ST278"/>
        <s v="ST279"/>
        <s v="ST280"/>
        <s v="ST281"/>
        <s v="ST282"/>
        <s v="ST283"/>
        <s v="ST284"/>
        <s v="ST285"/>
        <s v="ST286"/>
        <s v="ST287"/>
        <s v="ST288"/>
        <s v="ST289"/>
        <s v="ST290"/>
        <s v="ST291"/>
        <s v="ST292"/>
        <s v="ST293"/>
        <s v="ST294"/>
        <s v="ST295"/>
        <s v="ST296"/>
        <s v="ST297"/>
        <s v="ST298"/>
        <s v="ST299"/>
        <s v="ST300"/>
        <m/>
      </sharedItems>
    </cacheField>
    <cacheField name="GENDER" numFmtId="0">
      <sharedItems containsBlank="1" count="3">
        <s v="Male"/>
        <s v="Female"/>
        <m/>
      </sharedItems>
    </cacheField>
    <cacheField name="AGE" numFmtId="0">
      <sharedItems containsString="0" containsBlank="1" containsNumber="1" containsInteger="1" minValue="21" maxValue="24"/>
    </cacheField>
    <cacheField name="COURSE" numFmtId="0">
      <sharedItems containsBlank="1"/>
    </cacheField>
    <cacheField name="SEMESTER" numFmtId="0">
      <sharedItems containsString="0" containsBlank="1" containsNumber="1" containsInteger="1" minValue="7" maxValue="8"/>
    </cacheField>
    <cacheField name="ATTENDENCE %" numFmtId="0">
      <sharedItems containsString="0" containsBlank="1" containsNumber="1" containsInteger="1" minValue="24" maxValue="95"/>
    </cacheField>
    <cacheField name="STUDY HOURS" numFmtId="0">
      <sharedItems containsString="0" containsBlank="1" containsNumber="1" minValue="1" maxValue="6"/>
    </cacheField>
    <cacheField name="ASSIGNMENT SCORE" numFmtId="0">
      <sharedItems containsString="0" containsBlank="1" containsNumber="1" containsInteger="1" minValue="50" maxValue="100"/>
    </cacheField>
    <cacheField name="INTERNAL MARKS" numFmtId="0">
      <sharedItems containsString="0" containsBlank="1" containsNumber="1" containsInteger="1" minValue="18" maxValue="50"/>
    </cacheField>
    <cacheField name="MATHS" numFmtId="0">
      <sharedItems containsString="0" containsBlank="1" containsNumber="1" containsInteger="1" minValue="10" maxValue="95"/>
    </cacheField>
    <cacheField name="DBMS" numFmtId="0">
      <sharedItems containsString="0" containsBlank="1" containsNumber="1" containsInteger="1" minValue="10" maxValue="95"/>
    </cacheField>
    <cacheField name="PYTHON" numFmtId="0">
      <sharedItems containsString="0" containsBlank="1" containsNumber="1" containsInteger="1" minValue="20" maxValue="97"/>
    </cacheField>
    <cacheField name="COMPUTER NETWORKS" numFmtId="0">
      <sharedItems containsString="0" containsBlank="1" containsNumber="1" containsInteger="1" minValue="50" maxValue="100"/>
    </cacheField>
    <cacheField name="ENGLISH" numFmtId="0">
      <sharedItems containsString="0" containsBlank="1" containsNumber="1" containsInteger="1" minValue="30" maxValue="100"/>
    </cacheField>
    <cacheField name="OVERALL %" numFmtId="0">
      <sharedItems containsString="0" containsBlank="1" containsNumber="1" minValue="39.200000000000003" maxValue="86.2"/>
    </cacheField>
    <cacheField name="RESULT" numFmtId="0">
      <sharedItems containsBlank="1"/>
    </cacheField>
    <cacheField name="GRADE" numFmtId="0">
      <sharedItems containsBlank="1"/>
    </cacheField>
    <cacheField name="BACKLOGS" numFmtId="0">
      <sharedItems containsString="0" containsBlank="1" containsNumber="1" containsInteger="1" minValue="0" maxValue="4"/>
    </cacheField>
    <cacheField name="PERFORMANCE" numFmtId="0">
      <sharedItems containsBlank="1"/>
    </cacheField>
    <cacheField name="Column1" numFmtId="0">
      <sharedItems containsNonDate="0" containsString="0" containsBlank="1"/>
    </cacheField>
    <cacheField name="PLACEMENT STATUS" numFmtId="0">
      <sharedItems containsBlank="1" count="3">
        <s v="YES"/>
        <s v="NO"/>
        <m/>
      </sharedItems>
    </cacheField>
    <cacheField name="Field1" numFmtId="0">
      <sharedItems containsNonDate="0" containsString="0" containsBlank="1"/>
    </cacheField>
    <cacheField name="SUBJECT" numFmtId="0">
      <sharedItems containsBlank="1"/>
    </cacheField>
    <cacheField name="AVERAGE" numFmtId="0">
      <sharedItems containsString="0" containsBlank="1" containsNumber="1" minValue="49.39" maxValue="76.266666666666666"/>
    </cacheField>
    <cacheField name="Field2" numFmtId="0">
      <sharedItems containsNonDate="0" containsString="0" containsBlank="1"/>
    </cacheField>
    <cacheField name="Field3" numFmtId="0">
      <sharedItems containsNonDate="0" containsString="0" containsBlank="1"/>
    </cacheField>
    <cacheField name="AVERAGE ATTENDENCE" numFmtId="0">
      <sharedItems containsString="0" containsBlank="1" containsNumber="1" minValue="72.860759493670884" maxValue="75.1901408450704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s v="ST001"/>
    <x v="0"/>
    <n v="24"/>
    <s v="CSE"/>
    <n v="8"/>
    <n v="90"/>
    <n v="2.2999999999999998"/>
    <n v="74"/>
    <n v="21"/>
    <n v="77"/>
    <n v="67"/>
    <n v="42"/>
    <n v="73"/>
    <n v="92"/>
    <n v="70.199999999999989"/>
    <s v="Pass"/>
    <s v="A"/>
    <n v="0"/>
    <x v="0"/>
    <x v="0"/>
  </r>
  <r>
    <s v="ST002"/>
    <x v="1"/>
    <n v="23"/>
    <s v="CIVIL"/>
    <n v="8"/>
    <n v="75"/>
    <n v="1.7"/>
    <n v="62"/>
    <n v="20"/>
    <n v="15"/>
    <n v="38"/>
    <n v="63"/>
    <n v="100"/>
    <n v="78"/>
    <n v="58.8"/>
    <s v="Fail"/>
    <s v="C"/>
    <n v="2"/>
    <x v="1"/>
    <x v="1"/>
  </r>
  <r>
    <s v="ST003"/>
    <x v="0"/>
    <n v="22"/>
    <s v="ME"/>
    <n v="8"/>
    <n v="85"/>
    <n v="6"/>
    <n v="82"/>
    <n v="29"/>
    <n v="51"/>
    <n v="42"/>
    <n v="74"/>
    <n v="83"/>
    <n v="52"/>
    <n v="60.4"/>
    <s v="Pass"/>
    <s v="B"/>
    <n v="0"/>
    <x v="0"/>
    <x v="0"/>
  </r>
  <r>
    <s v="ST004"/>
    <x v="1"/>
    <n v="22"/>
    <s v="ME"/>
    <n v="8"/>
    <n v="84"/>
    <n v="1.1000000000000001"/>
    <n v="94"/>
    <n v="29"/>
    <n v="20"/>
    <n v="42"/>
    <n v="68"/>
    <n v="72"/>
    <n v="68"/>
    <n v="54"/>
    <s v="Fail"/>
    <s v="C"/>
    <n v="1"/>
    <x v="1"/>
    <x v="1"/>
  </r>
  <r>
    <s v="ST005"/>
    <x v="0"/>
    <n v="22"/>
    <s v="CIVIL"/>
    <n v="8"/>
    <n v="67"/>
    <n v="4.3"/>
    <n v="69"/>
    <n v="20"/>
    <n v="89"/>
    <n v="87"/>
    <n v="91"/>
    <n v="78"/>
    <n v="52"/>
    <n v="79.400000000000006"/>
    <s v="Pass"/>
    <s v="B"/>
    <n v="0"/>
    <x v="0"/>
    <x v="0"/>
  </r>
  <r>
    <s v="ST006"/>
    <x v="0"/>
    <n v="21"/>
    <s v="ME"/>
    <n v="8"/>
    <n v="86"/>
    <n v="5.4"/>
    <n v="75"/>
    <n v="29"/>
    <n v="64"/>
    <n v="15"/>
    <n v="58"/>
    <n v="96"/>
    <n v="77"/>
    <n v="62"/>
    <s v="Fail"/>
    <s v="B"/>
    <n v="1"/>
    <x v="0"/>
    <x v="1"/>
  </r>
  <r>
    <s v="ST007"/>
    <x v="0"/>
    <n v="23"/>
    <s v="CIVIL"/>
    <n v="8"/>
    <n v="92"/>
    <n v="1.4"/>
    <n v="94"/>
    <n v="33"/>
    <n v="41"/>
    <n v="26"/>
    <n v="38"/>
    <n v="82"/>
    <n v="63"/>
    <n v="50"/>
    <s v="Fail"/>
    <s v="D"/>
    <n v="2"/>
    <x v="1"/>
    <x v="1"/>
  </r>
  <r>
    <s v="ST008"/>
    <x v="0"/>
    <n v="24"/>
    <s v="ME"/>
    <n v="7"/>
    <n v="90"/>
    <n v="1.4"/>
    <n v="94"/>
    <n v="49"/>
    <n v="66"/>
    <n v="44"/>
    <n v="55"/>
    <n v="70"/>
    <n v="59"/>
    <n v="58.8"/>
    <s v="Pass"/>
    <s v="C"/>
    <n v="0"/>
    <x v="1"/>
    <x v="0"/>
  </r>
  <r>
    <s v="ST009"/>
    <x v="0"/>
    <n v="23"/>
    <s v="ECE"/>
    <n v="7"/>
    <n v="93"/>
    <n v="1.6"/>
    <n v="76"/>
    <n v="43"/>
    <n v="90"/>
    <n v="14"/>
    <n v="37"/>
    <n v="90"/>
    <n v="45"/>
    <n v="55.2"/>
    <s v="Fail"/>
    <s v="C"/>
    <n v="2"/>
    <x v="1"/>
    <x v="1"/>
  </r>
  <r>
    <s v="ST010"/>
    <x v="0"/>
    <n v="22"/>
    <s v="ECE"/>
    <n v="8"/>
    <n v="57"/>
    <n v="3.9"/>
    <n v="69"/>
    <n v="22"/>
    <n v="77"/>
    <n v="81"/>
    <n v="64"/>
    <n v="71"/>
    <n v="80"/>
    <n v="74.599999999999994"/>
    <s v="Pass"/>
    <s v="B"/>
    <n v="0"/>
    <x v="0"/>
    <x v="0"/>
  </r>
  <r>
    <s v="ST011"/>
    <x v="0"/>
    <n v="21"/>
    <s v="CSE"/>
    <n v="7"/>
    <n v="47"/>
    <n v="4.4000000000000004"/>
    <n v="53"/>
    <n v="24"/>
    <n v="49"/>
    <n v="72"/>
    <n v="46"/>
    <n v="100"/>
    <n v="93"/>
    <n v="72"/>
    <s v="Pass"/>
    <s v="B"/>
    <n v="0"/>
    <x v="0"/>
    <x v="0"/>
  </r>
  <r>
    <s v="ST012"/>
    <x v="1"/>
    <n v="23"/>
    <s v="CIVIL"/>
    <n v="7"/>
    <n v="63"/>
    <n v="1.3"/>
    <n v="62"/>
    <n v="40"/>
    <n v="75"/>
    <n v="76"/>
    <n v="40"/>
    <n v="74"/>
    <n v="84"/>
    <n v="69.8"/>
    <s v="Pass"/>
    <s v="B"/>
    <n v="0"/>
    <x v="0"/>
    <x v="0"/>
  </r>
  <r>
    <s v="ST013"/>
    <x v="0"/>
    <n v="22"/>
    <s v="ECE"/>
    <n v="7"/>
    <n v="86"/>
    <n v="2.1"/>
    <n v="94"/>
    <n v="36"/>
    <n v="76"/>
    <n v="29"/>
    <n v="96"/>
    <n v="80"/>
    <n v="43"/>
    <n v="64.8"/>
    <s v="Fail"/>
    <s v="B"/>
    <n v="1"/>
    <x v="0"/>
    <x v="1"/>
  </r>
  <r>
    <s v="ST014"/>
    <x v="0"/>
    <n v="24"/>
    <s v="CSE"/>
    <n v="7"/>
    <n v="90"/>
    <n v="5.2"/>
    <n v="77"/>
    <n v="26"/>
    <n v="19"/>
    <n v="17"/>
    <n v="47"/>
    <n v="89"/>
    <n v="96"/>
    <n v="53.6"/>
    <s v="Fail"/>
    <s v="C"/>
    <n v="2"/>
    <x v="1"/>
    <x v="1"/>
  </r>
  <r>
    <s v="ST015"/>
    <x v="0"/>
    <n v="22"/>
    <s v="CSE"/>
    <n v="7"/>
    <n v="71"/>
    <n v="5"/>
    <n v="64"/>
    <n v="24"/>
    <n v="44"/>
    <n v="81"/>
    <n v="43"/>
    <n v="86"/>
    <n v="91"/>
    <n v="69"/>
    <s v="Pass"/>
    <s v="B"/>
    <n v="0"/>
    <x v="0"/>
    <x v="0"/>
  </r>
  <r>
    <s v="ST016"/>
    <x v="0"/>
    <n v="21"/>
    <s v="ME"/>
    <n v="7"/>
    <n v="43"/>
    <n v="1.5"/>
    <n v="56"/>
    <n v="23"/>
    <n v="17"/>
    <n v="33"/>
    <n v="75"/>
    <n v="67"/>
    <n v="38"/>
    <n v="46"/>
    <s v="Fail"/>
    <s v="D"/>
    <n v="3"/>
    <x v="1"/>
    <x v="1"/>
  </r>
  <r>
    <s v="ST017"/>
    <x v="0"/>
    <n v="23"/>
    <s v="ME"/>
    <n v="7"/>
    <n v="85"/>
    <n v="5.7"/>
    <n v="74"/>
    <n v="19"/>
    <n v="40"/>
    <n v="91"/>
    <n v="39"/>
    <n v="74"/>
    <n v="94"/>
    <n v="67.600000000000009"/>
    <s v="Fail"/>
    <s v="B"/>
    <n v="1"/>
    <x v="0"/>
    <x v="1"/>
  </r>
  <r>
    <s v="ST018"/>
    <x v="1"/>
    <n v="23"/>
    <s v="ME"/>
    <n v="8"/>
    <n v="81"/>
    <n v="3.8"/>
    <n v="71"/>
    <n v="32"/>
    <n v="53"/>
    <n v="47"/>
    <n v="44"/>
    <n v="100"/>
    <n v="37"/>
    <n v="56.2"/>
    <s v="Fail"/>
    <s v="C"/>
    <n v="1"/>
    <x v="1"/>
    <x v="1"/>
  </r>
  <r>
    <s v="ST019"/>
    <x v="0"/>
    <n v="23"/>
    <s v="CSE"/>
    <n v="7"/>
    <n v="84"/>
    <n v="2.1"/>
    <n v="95"/>
    <n v="18"/>
    <n v="35"/>
    <n v="28"/>
    <n v="49"/>
    <n v="88"/>
    <n v="86"/>
    <n v="57.199999999999996"/>
    <s v="Fail"/>
    <s v="C"/>
    <n v="2"/>
    <x v="1"/>
    <x v="1"/>
  </r>
  <r>
    <s v="ST020"/>
    <x v="0"/>
    <n v="22"/>
    <s v="CSE"/>
    <n v="8"/>
    <n v="43"/>
    <n v="2.2000000000000002"/>
    <n v="67"/>
    <n v="38"/>
    <n v="80"/>
    <n v="86"/>
    <n v="26"/>
    <n v="71"/>
    <n v="60"/>
    <n v="64.600000000000009"/>
    <s v="Fail"/>
    <s v="B"/>
    <n v="1"/>
    <x v="0"/>
    <x v="1"/>
  </r>
  <r>
    <s v="ST021"/>
    <x v="0"/>
    <n v="23"/>
    <s v="CSE"/>
    <n v="8"/>
    <n v="37"/>
    <n v="4.3"/>
    <n v="50"/>
    <n v="44"/>
    <n v="72"/>
    <n v="54"/>
    <n v="50"/>
    <n v="68"/>
    <n v="80"/>
    <n v="64.8"/>
    <s v="Pass"/>
    <s v="B"/>
    <n v="0"/>
    <x v="0"/>
    <x v="0"/>
  </r>
  <r>
    <s v="ST022"/>
    <x v="1"/>
    <n v="22"/>
    <s v="ME"/>
    <n v="8"/>
    <n v="90"/>
    <n v="5.7"/>
    <n v="92"/>
    <n v="33"/>
    <n v="65"/>
    <n v="48"/>
    <n v="30"/>
    <n v="75"/>
    <n v="39"/>
    <n v="51.4"/>
    <s v="Fail"/>
    <s v="C"/>
    <n v="2"/>
    <x v="1"/>
    <x v="1"/>
  </r>
  <r>
    <s v="ST023"/>
    <x v="0"/>
    <n v="24"/>
    <s v="CSE"/>
    <n v="8"/>
    <n v="90"/>
    <n v="5.5"/>
    <n v="100"/>
    <n v="22"/>
    <n v="81"/>
    <n v="94"/>
    <n v="66"/>
    <n v="97"/>
    <n v="63"/>
    <n v="80.2"/>
    <s v="Pass"/>
    <s v="A"/>
    <n v="0"/>
    <x v="2"/>
    <x v="0"/>
  </r>
  <r>
    <s v="ST024"/>
    <x v="0"/>
    <n v="22"/>
    <s v="ME"/>
    <n v="8"/>
    <n v="56"/>
    <n v="4.4000000000000004"/>
    <n v="56"/>
    <n v="33"/>
    <n v="13"/>
    <n v="88"/>
    <n v="73"/>
    <n v="80"/>
    <n v="51"/>
    <n v="61"/>
    <s v="Fail"/>
    <s v="B"/>
    <n v="1"/>
    <x v="0"/>
    <x v="1"/>
  </r>
  <r>
    <s v="ST025"/>
    <x v="0"/>
    <n v="23"/>
    <s v="ECE"/>
    <n v="7"/>
    <n v="63"/>
    <n v="2.9"/>
    <n v="51"/>
    <n v="40"/>
    <n v="49"/>
    <n v="41"/>
    <n v="23"/>
    <n v="93"/>
    <n v="69"/>
    <n v="55.000000000000007"/>
    <s v="Fail"/>
    <s v="C"/>
    <n v="1"/>
    <x v="1"/>
    <x v="1"/>
  </r>
  <r>
    <s v="ST026"/>
    <x v="1"/>
    <n v="24"/>
    <s v="CSE"/>
    <n v="7"/>
    <n v="90"/>
    <n v="3.5"/>
    <n v="89"/>
    <n v="47"/>
    <n v="79"/>
    <n v="32"/>
    <n v="56"/>
    <n v="70"/>
    <n v="94"/>
    <n v="66.2"/>
    <s v="Fail"/>
    <s v="B"/>
    <n v="1"/>
    <x v="0"/>
    <x v="1"/>
  </r>
  <r>
    <s v="ST027"/>
    <x v="1"/>
    <n v="22"/>
    <s v="ME"/>
    <n v="7"/>
    <n v="56"/>
    <n v="1.1000000000000001"/>
    <n v="57"/>
    <n v="25"/>
    <n v="44"/>
    <n v="51"/>
    <n v="94"/>
    <n v="68"/>
    <n v="95"/>
    <n v="70.399999999999991"/>
    <s v="Pass"/>
    <s v="B"/>
    <n v="0"/>
    <x v="0"/>
    <x v="0"/>
  </r>
  <r>
    <s v="ST028"/>
    <x v="0"/>
    <n v="24"/>
    <s v="ME"/>
    <n v="7"/>
    <n v="82"/>
    <n v="2.7"/>
    <n v="78"/>
    <n v="38"/>
    <n v="40"/>
    <n v="77"/>
    <n v="24"/>
    <n v="71"/>
    <n v="52"/>
    <n v="52.800000000000004"/>
    <s v="Fail"/>
    <s v="C"/>
    <n v="1"/>
    <x v="1"/>
    <x v="1"/>
  </r>
  <r>
    <s v="ST029"/>
    <x v="1"/>
    <n v="22"/>
    <s v="CSE"/>
    <n v="8"/>
    <n v="87"/>
    <n v="4.5"/>
    <n v="90"/>
    <n v="32"/>
    <n v="19"/>
    <n v="57"/>
    <n v="24"/>
    <n v="96"/>
    <n v="43"/>
    <n v="47.8"/>
    <s v="Fail"/>
    <s v="D"/>
    <n v="2"/>
    <x v="1"/>
    <x v="1"/>
  </r>
  <r>
    <s v="ST030"/>
    <x v="1"/>
    <n v="22"/>
    <s v="ME"/>
    <n v="7"/>
    <n v="84"/>
    <n v="2.5"/>
    <n v="93"/>
    <n v="44"/>
    <n v="73"/>
    <n v="81"/>
    <n v="80"/>
    <n v="97"/>
    <n v="50"/>
    <n v="76.2"/>
    <s v="Pass"/>
    <s v="B"/>
    <n v="0"/>
    <x v="0"/>
    <x v="0"/>
  </r>
  <r>
    <s v="ST031"/>
    <x v="0"/>
    <n v="21"/>
    <s v="ECE"/>
    <n v="7"/>
    <n v="60"/>
    <n v="3.9"/>
    <n v="70"/>
    <n v="50"/>
    <n v="40"/>
    <n v="71"/>
    <n v="78"/>
    <n v="79"/>
    <n v="50"/>
    <n v="63.6"/>
    <s v="Pass"/>
    <s v="B"/>
    <n v="0"/>
    <x v="0"/>
    <x v="0"/>
  </r>
  <r>
    <s v="ST032"/>
    <x v="0"/>
    <n v="24"/>
    <s v="ECE"/>
    <n v="8"/>
    <n v="51"/>
    <n v="1.9"/>
    <n v="51"/>
    <n v="22"/>
    <n v="25"/>
    <n v="18"/>
    <n v="68"/>
    <n v="87"/>
    <n v="90"/>
    <n v="57.599999999999994"/>
    <s v="Fail"/>
    <s v="C"/>
    <n v="2"/>
    <x v="1"/>
    <x v="1"/>
  </r>
  <r>
    <s v="ST033"/>
    <x v="0"/>
    <n v="21"/>
    <s v="ECE"/>
    <n v="8"/>
    <n v="67"/>
    <n v="5.4"/>
    <n v="53"/>
    <n v="27"/>
    <n v="82"/>
    <n v="27"/>
    <n v="86"/>
    <n v="56"/>
    <n v="76"/>
    <n v="65.400000000000006"/>
    <s v="Fail"/>
    <s v="B"/>
    <n v="1"/>
    <x v="0"/>
    <x v="1"/>
  </r>
  <r>
    <s v="ST034"/>
    <x v="1"/>
    <n v="23"/>
    <s v="ME"/>
    <n v="8"/>
    <n v="87"/>
    <n v="2.4"/>
    <n v="95"/>
    <n v="23"/>
    <n v="88"/>
    <n v="12"/>
    <n v="45"/>
    <n v="83"/>
    <n v="40"/>
    <n v="53.6"/>
    <s v="Fail"/>
    <s v="C"/>
    <n v="1"/>
    <x v="1"/>
    <x v="1"/>
  </r>
  <r>
    <s v="ST035"/>
    <x v="1"/>
    <n v="23"/>
    <s v="ME"/>
    <n v="8"/>
    <n v="48"/>
    <n v="1.7"/>
    <n v="60"/>
    <n v="50"/>
    <n v="16"/>
    <n v="41"/>
    <n v="79"/>
    <n v="52"/>
    <n v="79"/>
    <n v="53.400000000000006"/>
    <s v="Fail"/>
    <s v="C"/>
    <n v="1"/>
    <x v="1"/>
    <x v="1"/>
  </r>
  <r>
    <s v="ST036"/>
    <x v="0"/>
    <n v="24"/>
    <s v="CSE"/>
    <n v="7"/>
    <n v="92"/>
    <n v="1.9"/>
    <n v="96"/>
    <n v="35"/>
    <n v="19"/>
    <n v="19"/>
    <n v="85"/>
    <n v="55"/>
    <n v="52"/>
    <n v="46"/>
    <s v="Fail"/>
    <s v="D"/>
    <n v="2"/>
    <x v="1"/>
    <x v="1"/>
  </r>
  <r>
    <s v="ST037"/>
    <x v="0"/>
    <n v="22"/>
    <s v="CSE"/>
    <n v="8"/>
    <n v="87"/>
    <n v="5.5"/>
    <n v="84"/>
    <n v="48"/>
    <n v="56"/>
    <n v="25"/>
    <n v="28"/>
    <n v="91"/>
    <n v="38"/>
    <n v="47.599999999999994"/>
    <s v="Fail"/>
    <s v="D"/>
    <n v="3"/>
    <x v="1"/>
    <x v="1"/>
  </r>
  <r>
    <s v="ST038"/>
    <x v="0"/>
    <n v="24"/>
    <s v="CIVIL"/>
    <n v="8"/>
    <n v="95"/>
    <n v="1.2"/>
    <n v="74"/>
    <n v="44"/>
    <n v="43"/>
    <n v="46"/>
    <n v="42"/>
    <n v="89"/>
    <n v="44"/>
    <n v="52.800000000000004"/>
    <s v="Pass"/>
    <s v="C"/>
    <n v="0"/>
    <x v="1"/>
    <x v="0"/>
  </r>
  <r>
    <s v="ST039"/>
    <x v="0"/>
    <n v="21"/>
    <s v="ECE"/>
    <n v="8"/>
    <n v="90"/>
    <n v="2.9"/>
    <n v="81"/>
    <n v="31"/>
    <n v="71"/>
    <n v="33"/>
    <n v="47"/>
    <n v="71"/>
    <n v="96"/>
    <n v="63.6"/>
    <s v="Fail"/>
    <s v="B"/>
    <n v="1"/>
    <x v="0"/>
    <x v="1"/>
  </r>
  <r>
    <s v="ST040"/>
    <x v="1"/>
    <n v="24"/>
    <s v="ME"/>
    <n v="8"/>
    <n v="48"/>
    <n v="1.2"/>
    <n v="69"/>
    <n v="47"/>
    <n v="82"/>
    <n v="82"/>
    <n v="92"/>
    <n v="81"/>
    <n v="50"/>
    <n v="77.400000000000006"/>
    <s v="Pass"/>
    <s v="B"/>
    <n v="0"/>
    <x v="0"/>
    <x v="0"/>
  </r>
  <r>
    <s v="ST041"/>
    <x v="0"/>
    <n v="23"/>
    <s v="ME"/>
    <n v="7"/>
    <n v="90"/>
    <n v="2.4"/>
    <n v="85"/>
    <n v="50"/>
    <n v="32"/>
    <n v="63"/>
    <n v="89"/>
    <n v="83"/>
    <n v="59"/>
    <n v="65.2"/>
    <s v="Fail"/>
    <s v="B"/>
    <n v="1"/>
    <x v="0"/>
    <x v="1"/>
  </r>
  <r>
    <s v="ST042"/>
    <x v="0"/>
    <n v="22"/>
    <s v="CIVIL"/>
    <n v="8"/>
    <n v="78"/>
    <n v="3.4"/>
    <n v="99"/>
    <n v="18"/>
    <n v="52"/>
    <n v="48"/>
    <n v="25"/>
    <n v="56"/>
    <n v="78"/>
    <n v="51.800000000000004"/>
    <s v="Fail"/>
    <s v="C"/>
    <n v="1"/>
    <x v="1"/>
    <x v="1"/>
  </r>
  <r>
    <s v="ST043"/>
    <x v="1"/>
    <n v="21"/>
    <s v="CSE"/>
    <n v="7"/>
    <n v="89"/>
    <n v="2.5"/>
    <n v="86"/>
    <n v="31"/>
    <n v="31"/>
    <n v="12"/>
    <n v="50"/>
    <n v="72"/>
    <n v="95"/>
    <n v="52"/>
    <s v="Fail"/>
    <s v="C"/>
    <n v="2"/>
    <x v="1"/>
    <x v="1"/>
  </r>
  <r>
    <s v="ST044"/>
    <x v="0"/>
    <n v="23"/>
    <s v="CSE"/>
    <n v="8"/>
    <n v="87"/>
    <n v="1.2"/>
    <n v="76"/>
    <n v="20"/>
    <n v="75"/>
    <n v="50"/>
    <n v="88"/>
    <n v="98"/>
    <n v="30"/>
    <n v="68.2"/>
    <s v="Fail"/>
    <s v="B"/>
    <n v="1"/>
    <x v="0"/>
    <x v="1"/>
  </r>
  <r>
    <s v="ST045"/>
    <x v="1"/>
    <n v="21"/>
    <s v="ME"/>
    <n v="8"/>
    <n v="83"/>
    <n v="4.5"/>
    <n v="88"/>
    <n v="27"/>
    <n v="55"/>
    <n v="32"/>
    <n v="78"/>
    <n v="67"/>
    <n v="36"/>
    <n v="53.6"/>
    <s v="Fail"/>
    <s v="C"/>
    <n v="2"/>
    <x v="1"/>
    <x v="1"/>
  </r>
  <r>
    <s v="ST046"/>
    <x v="1"/>
    <n v="21"/>
    <s v="CIVIL"/>
    <n v="8"/>
    <n v="46"/>
    <n v="5.3"/>
    <n v="55"/>
    <n v="49"/>
    <n v="11"/>
    <n v="69"/>
    <n v="31"/>
    <n v="88"/>
    <n v="94"/>
    <n v="58.599999999999994"/>
    <s v="Fail"/>
    <s v="C"/>
    <n v="2"/>
    <x v="1"/>
    <x v="1"/>
  </r>
  <r>
    <s v="ST047"/>
    <x v="0"/>
    <n v="22"/>
    <s v="ECE"/>
    <n v="7"/>
    <n v="85"/>
    <n v="5.4"/>
    <n v="83"/>
    <n v="28"/>
    <n v="61"/>
    <n v="51"/>
    <n v="29"/>
    <n v="78"/>
    <n v="71"/>
    <n v="57.999999999999993"/>
    <s v="Fail"/>
    <s v="C"/>
    <n v="1"/>
    <x v="1"/>
    <x v="1"/>
  </r>
  <r>
    <s v="ST048"/>
    <x v="0"/>
    <n v="24"/>
    <s v="CSE"/>
    <n v="7"/>
    <n v="76"/>
    <n v="5.7"/>
    <n v="78"/>
    <n v="50"/>
    <n v="34"/>
    <n v="53"/>
    <n v="58"/>
    <n v="100"/>
    <n v="99"/>
    <n v="68.8"/>
    <s v="Fail"/>
    <s v="B"/>
    <n v="1"/>
    <x v="0"/>
    <x v="1"/>
  </r>
  <r>
    <s v="ST049"/>
    <x v="0"/>
    <n v="21"/>
    <s v="ECE"/>
    <n v="8"/>
    <n v="85"/>
    <n v="1.5"/>
    <n v="99"/>
    <n v="18"/>
    <n v="32"/>
    <n v="36"/>
    <n v="80"/>
    <n v="66"/>
    <n v="70"/>
    <n v="56.8"/>
    <s v="Fail"/>
    <s v="C"/>
    <n v="2"/>
    <x v="1"/>
    <x v="1"/>
  </r>
  <r>
    <s v="ST050"/>
    <x v="0"/>
    <n v="23"/>
    <s v="ME"/>
    <n v="8"/>
    <n v="83"/>
    <n v="2.8"/>
    <n v="100"/>
    <n v="41"/>
    <n v="27"/>
    <n v="66"/>
    <n v="61"/>
    <n v="90"/>
    <n v="97"/>
    <n v="68.2"/>
    <s v="Fail"/>
    <s v="B"/>
    <n v="1"/>
    <x v="0"/>
    <x v="1"/>
  </r>
  <r>
    <s v="ST051"/>
    <x v="1"/>
    <n v="21"/>
    <s v="CIVIL"/>
    <n v="7"/>
    <n v="69"/>
    <n v="2.4"/>
    <n v="64"/>
    <n v="29"/>
    <n v="47"/>
    <n v="94"/>
    <n v="76"/>
    <n v="83"/>
    <n v="61"/>
    <n v="72.2"/>
    <s v="Pass"/>
    <s v="B"/>
    <n v="0"/>
    <x v="0"/>
    <x v="0"/>
  </r>
  <r>
    <s v="ST052"/>
    <x v="0"/>
    <n v="22"/>
    <s v="CIVIL"/>
    <n v="7"/>
    <n v="88"/>
    <n v="3"/>
    <n v="88"/>
    <n v="43"/>
    <n v="29"/>
    <n v="72"/>
    <n v="34"/>
    <n v="51"/>
    <n v="74"/>
    <n v="52"/>
    <s v="Fail"/>
    <s v="C"/>
    <n v="2"/>
    <x v="1"/>
    <x v="1"/>
  </r>
  <r>
    <s v="ST053"/>
    <x v="0"/>
    <n v="24"/>
    <s v="ECE"/>
    <n v="7"/>
    <n v="78"/>
    <n v="4.0999999999999996"/>
    <n v="90"/>
    <n v="21"/>
    <n v="75"/>
    <n v="13"/>
    <n v="26"/>
    <n v="57"/>
    <n v="41"/>
    <n v="42.4"/>
    <s v="Fail"/>
    <s v="D"/>
    <n v="2"/>
    <x v="1"/>
    <x v="1"/>
  </r>
  <r>
    <s v="ST054"/>
    <x v="0"/>
    <n v="24"/>
    <s v="ECE"/>
    <n v="7"/>
    <n v="57"/>
    <n v="3.2"/>
    <n v="66"/>
    <n v="41"/>
    <n v="15"/>
    <n v="31"/>
    <n v="49"/>
    <n v="74"/>
    <n v="81"/>
    <n v="50"/>
    <s v="Fail"/>
    <s v="D"/>
    <n v="2"/>
    <x v="1"/>
    <x v="1"/>
  </r>
  <r>
    <s v="ST055"/>
    <x v="0"/>
    <n v="21"/>
    <s v="CIVIL"/>
    <n v="7"/>
    <n v="72"/>
    <n v="1.9"/>
    <n v="61"/>
    <n v="31"/>
    <n v="31"/>
    <n v="71"/>
    <n v="43"/>
    <n v="82"/>
    <n v="53"/>
    <n v="56.000000000000007"/>
    <s v="Fail"/>
    <s v="C"/>
    <n v="1"/>
    <x v="1"/>
    <x v="1"/>
  </r>
  <r>
    <s v="ST056"/>
    <x v="0"/>
    <n v="23"/>
    <s v="CSE"/>
    <n v="8"/>
    <n v="53"/>
    <n v="2.9"/>
    <n v="69"/>
    <n v="30"/>
    <n v="55"/>
    <n v="78"/>
    <n v="70"/>
    <n v="60"/>
    <n v="96"/>
    <n v="71.8"/>
    <s v="Pass"/>
    <s v="B"/>
    <n v="0"/>
    <x v="0"/>
    <x v="0"/>
  </r>
  <r>
    <s v="ST057"/>
    <x v="1"/>
    <n v="21"/>
    <s v="ME"/>
    <n v="8"/>
    <n v="62"/>
    <n v="1.8"/>
    <n v="67"/>
    <n v="50"/>
    <n v="29"/>
    <n v="64"/>
    <n v="47"/>
    <n v="65"/>
    <n v="99"/>
    <n v="60.8"/>
    <s v="Fail"/>
    <s v="B"/>
    <n v="1"/>
    <x v="0"/>
    <x v="1"/>
  </r>
  <r>
    <s v="ST058"/>
    <x v="1"/>
    <n v="23"/>
    <s v="CIVIL"/>
    <n v="8"/>
    <n v="52"/>
    <n v="5.6"/>
    <n v="51"/>
    <n v="34"/>
    <n v="93"/>
    <n v="85"/>
    <n v="74"/>
    <n v="62"/>
    <n v="48"/>
    <n v="72.399999999999991"/>
    <s v="Pass"/>
    <s v="B"/>
    <n v="0"/>
    <x v="0"/>
    <x v="0"/>
  </r>
  <r>
    <s v="ST059"/>
    <x v="1"/>
    <n v="23"/>
    <s v="ME"/>
    <n v="7"/>
    <n v="67"/>
    <n v="5.5"/>
    <n v="51"/>
    <n v="49"/>
    <n v="46"/>
    <n v="30"/>
    <n v="47"/>
    <n v="53"/>
    <n v="86"/>
    <n v="52.400000000000006"/>
    <s v="Fail"/>
    <s v="C"/>
    <n v="1"/>
    <x v="1"/>
    <x v="1"/>
  </r>
  <r>
    <s v="ST060"/>
    <x v="0"/>
    <n v="24"/>
    <s v="ME"/>
    <n v="8"/>
    <n v="69"/>
    <n v="3.7"/>
    <n v="54"/>
    <n v="38"/>
    <n v="53"/>
    <n v="89"/>
    <n v="53"/>
    <n v="90"/>
    <n v="66"/>
    <n v="70.199999999999989"/>
    <s v="Pass"/>
    <s v="B"/>
    <n v="0"/>
    <x v="0"/>
    <x v="0"/>
  </r>
  <r>
    <s v="ST061"/>
    <x v="1"/>
    <n v="21"/>
    <s v="CSE"/>
    <n v="7"/>
    <n v="42"/>
    <n v="2.5"/>
    <n v="61"/>
    <n v="39"/>
    <n v="11"/>
    <n v="82"/>
    <n v="67"/>
    <n v="72"/>
    <n v="30"/>
    <n v="52.400000000000006"/>
    <s v="Fail"/>
    <s v="C"/>
    <n v="2"/>
    <x v="1"/>
    <x v="1"/>
  </r>
  <r>
    <s v="ST062"/>
    <x v="0"/>
    <n v="23"/>
    <s v="ME"/>
    <n v="8"/>
    <n v="61"/>
    <n v="4.4000000000000004"/>
    <n v="59"/>
    <n v="40"/>
    <n v="62"/>
    <n v="47"/>
    <n v="65"/>
    <n v="81"/>
    <n v="79"/>
    <n v="66.8"/>
    <s v="Pass"/>
    <s v="B"/>
    <n v="0"/>
    <x v="0"/>
    <x v="0"/>
  </r>
  <r>
    <s v="ST063"/>
    <x v="1"/>
    <n v="23"/>
    <s v="ME"/>
    <n v="8"/>
    <n v="95"/>
    <n v="3.2"/>
    <n v="97"/>
    <n v="37"/>
    <n v="71"/>
    <n v="21"/>
    <n v="29"/>
    <n v="82"/>
    <n v="50"/>
    <n v="50.6"/>
    <s v="Fail"/>
    <s v="C"/>
    <n v="2"/>
    <x v="1"/>
    <x v="1"/>
  </r>
  <r>
    <s v="ST064"/>
    <x v="1"/>
    <n v="23"/>
    <s v="ECE"/>
    <n v="8"/>
    <n v="90"/>
    <n v="1.2"/>
    <n v="96"/>
    <n v="35"/>
    <n v="88"/>
    <n v="26"/>
    <n v="30"/>
    <n v="51"/>
    <n v="99"/>
    <n v="58.8"/>
    <s v="Fail"/>
    <s v="C"/>
    <n v="2"/>
    <x v="1"/>
    <x v="1"/>
  </r>
  <r>
    <s v="ST065"/>
    <x v="0"/>
    <n v="21"/>
    <s v="CIVIL"/>
    <n v="7"/>
    <n v="28"/>
    <n v="4.0999999999999996"/>
    <n v="50"/>
    <n v="18"/>
    <n v="71"/>
    <n v="89"/>
    <n v="79"/>
    <n v="80"/>
    <n v="32"/>
    <n v="70.199999999999989"/>
    <s v="Fail"/>
    <s v="B"/>
    <n v="1"/>
    <x v="0"/>
    <x v="1"/>
  </r>
  <r>
    <s v="ST066"/>
    <x v="1"/>
    <n v="23"/>
    <s v="CIVIL"/>
    <n v="8"/>
    <n v="80"/>
    <n v="5.6"/>
    <n v="95"/>
    <n v="32"/>
    <n v="43"/>
    <n v="14"/>
    <n v="54"/>
    <n v="83"/>
    <n v="100"/>
    <n v="58.8"/>
    <s v="Fail"/>
    <s v="C"/>
    <n v="1"/>
    <x v="1"/>
    <x v="1"/>
  </r>
  <r>
    <s v="ST067"/>
    <x v="1"/>
    <n v="22"/>
    <s v="ECE"/>
    <n v="8"/>
    <n v="91"/>
    <n v="1.3"/>
    <n v="71"/>
    <n v="28"/>
    <n v="21"/>
    <n v="63"/>
    <n v="59"/>
    <n v="72"/>
    <n v="55"/>
    <n v="54"/>
    <s v="Fail"/>
    <s v="C"/>
    <n v="1"/>
    <x v="1"/>
    <x v="1"/>
  </r>
  <r>
    <s v="ST068"/>
    <x v="0"/>
    <n v="22"/>
    <s v="CSE"/>
    <n v="8"/>
    <n v="85"/>
    <n v="2.6"/>
    <n v="75"/>
    <n v="44"/>
    <n v="59"/>
    <n v="60"/>
    <n v="53"/>
    <n v="70"/>
    <n v="66"/>
    <n v="61.6"/>
    <s v="Pass"/>
    <s v="B"/>
    <n v="0"/>
    <x v="0"/>
    <x v="0"/>
  </r>
  <r>
    <s v="ST069"/>
    <x v="1"/>
    <n v="21"/>
    <s v="ME"/>
    <n v="8"/>
    <n v="75"/>
    <n v="2.4"/>
    <n v="60"/>
    <n v="33"/>
    <n v="60"/>
    <n v="37"/>
    <n v="58"/>
    <n v="95"/>
    <n v="32"/>
    <n v="56.399999999999991"/>
    <s v="Fail"/>
    <s v="C"/>
    <n v="2"/>
    <x v="1"/>
    <x v="1"/>
  </r>
  <r>
    <s v="ST070"/>
    <x v="1"/>
    <n v="24"/>
    <s v="CIVIL"/>
    <n v="7"/>
    <n v="79"/>
    <n v="1.9"/>
    <n v="88"/>
    <n v="40"/>
    <n v="67"/>
    <n v="76"/>
    <n v="77"/>
    <n v="86"/>
    <n v="97"/>
    <n v="80.600000000000009"/>
    <s v="Pass"/>
    <s v="A"/>
    <n v="0"/>
    <x v="2"/>
    <x v="0"/>
  </r>
  <r>
    <s v="ST071"/>
    <x v="0"/>
    <n v="24"/>
    <s v="ME"/>
    <n v="7"/>
    <n v="37"/>
    <n v="2.1"/>
    <n v="50"/>
    <n v="26"/>
    <n v="68"/>
    <n v="85"/>
    <n v="22"/>
    <n v="66"/>
    <n v="55"/>
    <n v="59.199999999999996"/>
    <s v="Fail"/>
    <s v="C"/>
    <n v="1"/>
    <x v="1"/>
    <x v="1"/>
  </r>
  <r>
    <s v="ST072"/>
    <x v="0"/>
    <n v="23"/>
    <s v="ME"/>
    <n v="8"/>
    <n v="87"/>
    <n v="2.9"/>
    <n v="88"/>
    <n v="44"/>
    <n v="57"/>
    <n v="67"/>
    <n v="26"/>
    <n v="75"/>
    <n v="73"/>
    <n v="59.599999999999994"/>
    <s v="Fail"/>
    <s v="C"/>
    <n v="1"/>
    <x v="1"/>
    <x v="1"/>
  </r>
  <r>
    <s v="ST073"/>
    <x v="0"/>
    <n v="22"/>
    <s v="ECE"/>
    <n v="7"/>
    <n v="94"/>
    <n v="4.3"/>
    <n v="76"/>
    <n v="44"/>
    <n v="88"/>
    <n v="66"/>
    <n v="89"/>
    <n v="84"/>
    <n v="35"/>
    <n v="72.399999999999991"/>
    <s v="Fail"/>
    <s v="B"/>
    <n v="1"/>
    <x v="0"/>
    <x v="1"/>
  </r>
  <r>
    <s v="ST074"/>
    <x v="1"/>
    <n v="22"/>
    <s v="CSE"/>
    <n v="8"/>
    <n v="82"/>
    <n v="1.5"/>
    <n v="78"/>
    <n v="20"/>
    <n v="20"/>
    <n v="62"/>
    <n v="34"/>
    <n v="100"/>
    <n v="47"/>
    <n v="52.6"/>
    <s v="Fail"/>
    <s v="C"/>
    <n v="2"/>
    <x v="1"/>
    <x v="1"/>
  </r>
  <r>
    <s v="ST075"/>
    <x v="1"/>
    <n v="23"/>
    <s v="CIVIL"/>
    <n v="8"/>
    <n v="81"/>
    <n v="3.5"/>
    <n v="94"/>
    <n v="33"/>
    <n v="55"/>
    <n v="15"/>
    <n v="44"/>
    <n v="50"/>
    <n v="32"/>
    <n v="39.200000000000003"/>
    <s v="Fail"/>
    <s v="D"/>
    <n v="2"/>
    <x v="3"/>
    <x v="1"/>
  </r>
  <r>
    <s v="ST076"/>
    <x v="1"/>
    <n v="21"/>
    <s v="ME"/>
    <n v="7"/>
    <n v="41"/>
    <n v="3.4"/>
    <n v="65"/>
    <n v="29"/>
    <n v="55"/>
    <n v="24"/>
    <n v="45"/>
    <n v="83"/>
    <n v="50"/>
    <n v="51.4"/>
    <s v="Fail"/>
    <s v="C"/>
    <n v="1"/>
    <x v="1"/>
    <x v="1"/>
  </r>
  <r>
    <s v="ST077"/>
    <x v="1"/>
    <n v="21"/>
    <s v="ME"/>
    <n v="8"/>
    <n v="95"/>
    <n v="5.7"/>
    <n v="90"/>
    <n v="29"/>
    <n v="46"/>
    <n v="65"/>
    <n v="94"/>
    <n v="57"/>
    <n v="93"/>
    <n v="71"/>
    <s v="Pass"/>
    <s v="B"/>
    <n v="0"/>
    <x v="0"/>
    <x v="0"/>
  </r>
  <r>
    <s v="ST078"/>
    <x v="0"/>
    <n v="22"/>
    <s v="ME"/>
    <n v="7"/>
    <n v="79"/>
    <n v="2.2999999999999998"/>
    <n v="88"/>
    <n v="30"/>
    <n v="30"/>
    <n v="93"/>
    <n v="48"/>
    <n v="74"/>
    <n v="38"/>
    <n v="56.599999999999994"/>
    <s v="Fail"/>
    <s v="C"/>
    <n v="2"/>
    <x v="1"/>
    <x v="1"/>
  </r>
  <r>
    <s v="ST079"/>
    <x v="1"/>
    <n v="24"/>
    <s v="ECE"/>
    <n v="7"/>
    <n v="69"/>
    <n v="3.6"/>
    <n v="56"/>
    <n v="45"/>
    <n v="91"/>
    <n v="40"/>
    <n v="84"/>
    <n v="79"/>
    <n v="80"/>
    <n v="74.8"/>
    <s v="Pass"/>
    <s v="B"/>
    <n v="0"/>
    <x v="0"/>
    <x v="0"/>
  </r>
  <r>
    <s v="ST080"/>
    <x v="1"/>
    <n v="22"/>
    <s v="CSE"/>
    <n v="8"/>
    <n v="92"/>
    <n v="3.9"/>
    <n v="98"/>
    <n v="22"/>
    <n v="64"/>
    <n v="35"/>
    <n v="30"/>
    <n v="96"/>
    <n v="31"/>
    <n v="51.2"/>
    <s v="Fail"/>
    <s v="C"/>
    <n v="3"/>
    <x v="1"/>
    <x v="1"/>
  </r>
  <r>
    <s v="ST081"/>
    <x v="1"/>
    <n v="22"/>
    <s v="CIVIL"/>
    <n v="8"/>
    <n v="72"/>
    <n v="2.2999999999999998"/>
    <n v="65"/>
    <n v="48"/>
    <n v="83"/>
    <n v="90"/>
    <n v="95"/>
    <n v="60"/>
    <n v="66"/>
    <n v="78.8"/>
    <s v="Pass"/>
    <s v="B"/>
    <n v="0"/>
    <x v="0"/>
    <x v="0"/>
  </r>
  <r>
    <s v="ST082"/>
    <x v="0"/>
    <n v="23"/>
    <s v="ECE"/>
    <n v="8"/>
    <n v="56"/>
    <n v="1.1000000000000001"/>
    <n v="64"/>
    <n v="30"/>
    <n v="74"/>
    <n v="78"/>
    <n v="49"/>
    <n v="79"/>
    <n v="60"/>
    <n v="68"/>
    <s v="Pass"/>
    <s v="B"/>
    <n v="0"/>
    <x v="0"/>
    <x v="0"/>
  </r>
  <r>
    <s v="ST083"/>
    <x v="0"/>
    <n v="21"/>
    <s v="ME"/>
    <n v="8"/>
    <n v="83"/>
    <n v="3.3"/>
    <n v="82"/>
    <n v="23"/>
    <n v="49"/>
    <n v="43"/>
    <n v="73"/>
    <n v="87"/>
    <n v="42"/>
    <n v="58.8"/>
    <s v="Pass"/>
    <s v="C"/>
    <n v="0"/>
    <x v="1"/>
    <x v="0"/>
  </r>
  <r>
    <s v="ST084"/>
    <x v="1"/>
    <n v="22"/>
    <s v="ME"/>
    <n v="7"/>
    <n v="49"/>
    <n v="3.7"/>
    <n v="67"/>
    <n v="39"/>
    <n v="82"/>
    <n v="30"/>
    <n v="87"/>
    <n v="62"/>
    <n v="75"/>
    <n v="67.2"/>
    <s v="Fail"/>
    <s v="B"/>
    <n v="1"/>
    <x v="0"/>
    <x v="1"/>
  </r>
  <r>
    <s v="ST085"/>
    <x v="0"/>
    <n v="23"/>
    <s v="ME"/>
    <n v="8"/>
    <n v="86"/>
    <n v="2.2000000000000002"/>
    <n v="91"/>
    <n v="25"/>
    <n v="45"/>
    <n v="83"/>
    <n v="83"/>
    <n v="91"/>
    <n v="32"/>
    <n v="66.8"/>
    <s v="Fail"/>
    <s v="B"/>
    <n v="1"/>
    <x v="0"/>
    <x v="1"/>
  </r>
  <r>
    <s v="ST086"/>
    <x v="0"/>
    <n v="24"/>
    <s v="CSE"/>
    <n v="7"/>
    <n v="83"/>
    <n v="3.4"/>
    <n v="80"/>
    <n v="18"/>
    <n v="64"/>
    <n v="43"/>
    <n v="97"/>
    <n v="78"/>
    <n v="31"/>
    <n v="62.6"/>
    <s v="Fail"/>
    <s v="B"/>
    <n v="1"/>
    <x v="0"/>
    <x v="1"/>
  </r>
  <r>
    <s v="ST087"/>
    <x v="1"/>
    <n v="24"/>
    <s v="ME"/>
    <n v="7"/>
    <n v="85"/>
    <n v="4.9000000000000004"/>
    <n v="83"/>
    <n v="46"/>
    <n v="79"/>
    <n v="75"/>
    <n v="35"/>
    <n v="60"/>
    <n v="62"/>
    <n v="62.2"/>
    <s v="Fail"/>
    <s v="B"/>
    <n v="1"/>
    <x v="0"/>
    <x v="1"/>
  </r>
  <r>
    <s v="ST088"/>
    <x v="0"/>
    <n v="23"/>
    <s v="ME"/>
    <n v="8"/>
    <n v="67"/>
    <n v="3.7"/>
    <n v="54"/>
    <n v="38"/>
    <n v="12"/>
    <n v="40"/>
    <n v="48"/>
    <n v="84"/>
    <n v="99"/>
    <n v="56.599999999999994"/>
    <s v="Fail"/>
    <s v="C"/>
    <n v="1"/>
    <x v="1"/>
    <x v="1"/>
  </r>
  <r>
    <s v="ST089"/>
    <x v="1"/>
    <n v="24"/>
    <s v="ECE"/>
    <n v="8"/>
    <n v="45"/>
    <n v="2.2000000000000002"/>
    <n v="51"/>
    <n v="18"/>
    <n v="69"/>
    <n v="28"/>
    <n v="97"/>
    <n v="69"/>
    <n v="49"/>
    <n v="62.4"/>
    <s v="Fail"/>
    <s v="B"/>
    <n v="1"/>
    <x v="0"/>
    <x v="1"/>
  </r>
  <r>
    <s v="ST090"/>
    <x v="0"/>
    <n v="22"/>
    <s v="ME"/>
    <n v="8"/>
    <n v="85"/>
    <n v="4.3"/>
    <n v="74"/>
    <n v="42"/>
    <n v="58"/>
    <n v="28"/>
    <n v="24"/>
    <n v="60"/>
    <n v="86"/>
    <n v="51.2"/>
    <s v="Fail"/>
    <s v="C"/>
    <n v="2"/>
    <x v="1"/>
    <x v="1"/>
  </r>
  <r>
    <s v="ST091"/>
    <x v="1"/>
    <n v="22"/>
    <s v="CIVIL"/>
    <n v="7"/>
    <n v="82"/>
    <n v="5.3"/>
    <n v="95"/>
    <n v="38"/>
    <n v="92"/>
    <n v="87"/>
    <n v="57"/>
    <n v="50"/>
    <n v="53"/>
    <n v="67.800000000000011"/>
    <s v="Pass"/>
    <s v="B"/>
    <n v="0"/>
    <x v="0"/>
    <x v="0"/>
  </r>
  <r>
    <s v="ST092"/>
    <x v="1"/>
    <n v="24"/>
    <s v="CIVIL"/>
    <n v="8"/>
    <n v="88"/>
    <n v="1.6"/>
    <n v="85"/>
    <n v="44"/>
    <n v="63"/>
    <n v="23"/>
    <n v="36"/>
    <n v="81"/>
    <n v="33"/>
    <n v="47.199999999999996"/>
    <s v="Fail"/>
    <s v="D"/>
    <n v="3"/>
    <x v="1"/>
    <x v="1"/>
  </r>
  <r>
    <s v="ST093"/>
    <x v="1"/>
    <n v="23"/>
    <s v="ECE"/>
    <n v="8"/>
    <n v="90"/>
    <n v="5.6"/>
    <n v="92"/>
    <n v="20"/>
    <n v="32"/>
    <n v="82"/>
    <n v="85"/>
    <n v="90"/>
    <n v="89"/>
    <n v="75.599999999999994"/>
    <s v="Fail"/>
    <s v="B"/>
    <n v="1"/>
    <x v="0"/>
    <x v="1"/>
  </r>
  <r>
    <s v="ST094"/>
    <x v="0"/>
    <n v="22"/>
    <s v="CIVIL"/>
    <n v="8"/>
    <n v="73"/>
    <n v="3.3"/>
    <n v="57"/>
    <n v="49"/>
    <n v="33"/>
    <n v="21"/>
    <n v="39"/>
    <n v="88"/>
    <n v="99"/>
    <n v="56.000000000000007"/>
    <s v="Fail"/>
    <s v="C"/>
    <n v="3"/>
    <x v="1"/>
    <x v="1"/>
  </r>
  <r>
    <s v="ST095"/>
    <x v="1"/>
    <n v="23"/>
    <s v="ECE"/>
    <n v="8"/>
    <n v="53"/>
    <n v="5.9"/>
    <n v="63"/>
    <n v="27"/>
    <n v="57"/>
    <n v="79"/>
    <n v="66"/>
    <n v="78"/>
    <n v="40"/>
    <n v="64"/>
    <s v="Pass"/>
    <s v="B"/>
    <n v="0"/>
    <x v="0"/>
    <x v="0"/>
  </r>
  <r>
    <s v="ST096"/>
    <x v="1"/>
    <n v="21"/>
    <s v="ECE"/>
    <n v="8"/>
    <n v="81"/>
    <n v="1.6"/>
    <n v="74"/>
    <n v="39"/>
    <n v="10"/>
    <n v="89"/>
    <n v="85"/>
    <n v="83"/>
    <n v="60"/>
    <n v="65.400000000000006"/>
    <s v="Fail"/>
    <s v="B"/>
    <n v="1"/>
    <x v="0"/>
    <x v="1"/>
  </r>
  <r>
    <s v="ST097"/>
    <x v="1"/>
    <n v="22"/>
    <s v="ME"/>
    <n v="8"/>
    <n v="48"/>
    <n v="1.4"/>
    <n v="55"/>
    <n v="28"/>
    <n v="80"/>
    <n v="54"/>
    <n v="32"/>
    <n v="86"/>
    <n v="41"/>
    <n v="58.599999999999994"/>
    <s v="Fail"/>
    <s v="C"/>
    <n v="1"/>
    <x v="1"/>
    <x v="1"/>
  </r>
  <r>
    <s v="ST098"/>
    <x v="0"/>
    <n v="22"/>
    <s v="CIVIL"/>
    <n v="8"/>
    <n v="86"/>
    <n v="4.3"/>
    <n v="97"/>
    <n v="44"/>
    <n v="47"/>
    <n v="62"/>
    <n v="63"/>
    <n v="71"/>
    <n v="61"/>
    <n v="60.8"/>
    <s v="Pass"/>
    <s v="B"/>
    <n v="0"/>
    <x v="0"/>
    <x v="0"/>
  </r>
  <r>
    <s v="ST099"/>
    <x v="0"/>
    <n v="23"/>
    <s v="CSE"/>
    <n v="8"/>
    <n v="49"/>
    <n v="5.6"/>
    <n v="55"/>
    <n v="45"/>
    <n v="25"/>
    <n v="71"/>
    <n v="81"/>
    <n v="51"/>
    <n v="98"/>
    <n v="65.2"/>
    <s v="Fail"/>
    <s v="B"/>
    <n v="1"/>
    <x v="0"/>
    <x v="1"/>
  </r>
  <r>
    <s v="ST100"/>
    <x v="0"/>
    <n v="24"/>
    <s v="ECE"/>
    <n v="8"/>
    <n v="88"/>
    <n v="4.5999999999999996"/>
    <n v="89"/>
    <n v="31"/>
    <n v="14"/>
    <n v="58"/>
    <n v="85"/>
    <n v="73"/>
    <n v="89"/>
    <n v="63.800000000000004"/>
    <s v="Fail"/>
    <s v="B"/>
    <n v="1"/>
    <x v="0"/>
    <x v="1"/>
  </r>
  <r>
    <s v="ST101"/>
    <x v="0"/>
    <n v="24"/>
    <s v="CIVIL"/>
    <n v="7"/>
    <n v="45"/>
    <n v="5.7"/>
    <n v="55"/>
    <n v="50"/>
    <n v="55"/>
    <n v="56"/>
    <n v="47"/>
    <n v="73"/>
    <n v="60"/>
    <n v="58.199999999999996"/>
    <s v="Pass"/>
    <s v="C"/>
    <n v="0"/>
    <x v="1"/>
    <x v="0"/>
  </r>
  <r>
    <s v="ST102"/>
    <x v="0"/>
    <n v="23"/>
    <s v="CSE"/>
    <n v="7"/>
    <n v="87"/>
    <n v="1.9"/>
    <n v="78"/>
    <n v="19"/>
    <n v="24"/>
    <n v="48"/>
    <n v="60"/>
    <n v="77"/>
    <n v="92"/>
    <n v="60.199999999999996"/>
    <s v="Fail"/>
    <s v="B"/>
    <n v="1"/>
    <x v="0"/>
    <x v="1"/>
  </r>
  <r>
    <s v="ST103"/>
    <x v="0"/>
    <n v="22"/>
    <s v="ME"/>
    <n v="8"/>
    <n v="83"/>
    <n v="2.7"/>
    <n v="77"/>
    <n v="20"/>
    <n v="76"/>
    <n v="47"/>
    <n v="34"/>
    <n v="72"/>
    <n v="79"/>
    <n v="61.6"/>
    <s v="Fail"/>
    <s v="B"/>
    <n v="1"/>
    <x v="0"/>
    <x v="1"/>
  </r>
  <r>
    <s v="ST104"/>
    <x v="0"/>
    <n v="22"/>
    <s v="ECE"/>
    <n v="8"/>
    <n v="83"/>
    <n v="5.9"/>
    <n v="99"/>
    <n v="29"/>
    <n v="95"/>
    <n v="18"/>
    <n v="55"/>
    <n v="84"/>
    <n v="41"/>
    <n v="58.599999999999994"/>
    <s v="Fail"/>
    <s v="C"/>
    <n v="1"/>
    <x v="1"/>
    <x v="1"/>
  </r>
  <r>
    <s v="ST105"/>
    <x v="0"/>
    <n v="21"/>
    <s v="CSE"/>
    <n v="8"/>
    <n v="44"/>
    <n v="2.1"/>
    <n v="60"/>
    <n v="25"/>
    <n v="60"/>
    <n v="40"/>
    <n v="84"/>
    <n v="90"/>
    <n v="90"/>
    <n v="72.8"/>
    <s v="Pass"/>
    <s v="B"/>
    <n v="0"/>
    <x v="0"/>
    <x v="0"/>
  </r>
  <r>
    <s v="ST106"/>
    <x v="1"/>
    <n v="22"/>
    <s v="CIVIL"/>
    <n v="8"/>
    <n v="86"/>
    <n v="5"/>
    <n v="94"/>
    <n v="20"/>
    <n v="62"/>
    <n v="80"/>
    <n v="95"/>
    <n v="56"/>
    <n v="47"/>
    <n v="68"/>
    <s v="Pass"/>
    <s v="B"/>
    <n v="0"/>
    <x v="0"/>
    <x v="0"/>
  </r>
  <r>
    <s v="ST107"/>
    <x v="1"/>
    <n v="24"/>
    <s v="CSE"/>
    <n v="7"/>
    <n v="45"/>
    <n v="5.6"/>
    <n v="66"/>
    <n v="22"/>
    <n v="47"/>
    <n v="60"/>
    <n v="24"/>
    <n v="51"/>
    <n v="35"/>
    <n v="43.4"/>
    <s v="Fail"/>
    <s v="D"/>
    <n v="2"/>
    <x v="1"/>
    <x v="1"/>
  </r>
  <r>
    <s v="ST108"/>
    <x v="1"/>
    <n v="22"/>
    <s v="CSE"/>
    <n v="7"/>
    <n v="39"/>
    <n v="3"/>
    <n v="50"/>
    <n v="40"/>
    <n v="18"/>
    <n v="52"/>
    <n v="42"/>
    <n v="88"/>
    <n v="70"/>
    <n v="54"/>
    <s v="Fail"/>
    <s v="C"/>
    <n v="1"/>
    <x v="1"/>
    <x v="1"/>
  </r>
  <r>
    <s v="ST109"/>
    <x v="1"/>
    <n v="22"/>
    <s v="ECE"/>
    <n v="7"/>
    <n v="79"/>
    <n v="5.8"/>
    <n v="97"/>
    <n v="32"/>
    <n v="66"/>
    <n v="31"/>
    <n v="41"/>
    <n v="72"/>
    <n v="68"/>
    <n v="55.600000000000009"/>
    <s v="Fail"/>
    <s v="C"/>
    <n v="1"/>
    <x v="1"/>
    <x v="1"/>
  </r>
  <r>
    <s v="ST110"/>
    <x v="0"/>
    <n v="23"/>
    <s v="CSE"/>
    <n v="8"/>
    <n v="92"/>
    <n v="4"/>
    <n v="84"/>
    <n v="25"/>
    <n v="44"/>
    <n v="76"/>
    <n v="47"/>
    <n v="81"/>
    <n v="80"/>
    <n v="65.600000000000009"/>
    <s v="Pass"/>
    <s v="B"/>
    <n v="0"/>
    <x v="0"/>
    <x v="0"/>
  </r>
  <r>
    <s v="ST111"/>
    <x v="1"/>
    <n v="23"/>
    <s v="ECE"/>
    <n v="7"/>
    <n v="40"/>
    <n v="3.1"/>
    <n v="62"/>
    <n v="45"/>
    <n v="27"/>
    <n v="86"/>
    <n v="85"/>
    <n v="93"/>
    <n v="62"/>
    <n v="70.599999999999994"/>
    <s v="Fail"/>
    <s v="B"/>
    <n v="1"/>
    <x v="0"/>
    <x v="1"/>
  </r>
  <r>
    <s v="ST112"/>
    <x v="1"/>
    <n v="22"/>
    <s v="CIVIL"/>
    <n v="8"/>
    <n v="79"/>
    <n v="1.8"/>
    <n v="99"/>
    <n v="40"/>
    <n v="52"/>
    <n v="22"/>
    <n v="47"/>
    <n v="96"/>
    <n v="99"/>
    <n v="63.2"/>
    <s v="Fail"/>
    <s v="B"/>
    <n v="1"/>
    <x v="0"/>
    <x v="1"/>
  </r>
  <r>
    <s v="ST113"/>
    <x v="0"/>
    <n v="22"/>
    <s v="ECE"/>
    <n v="8"/>
    <n v="80"/>
    <n v="1.1000000000000001"/>
    <n v="82"/>
    <n v="26"/>
    <n v="93"/>
    <n v="58"/>
    <n v="55"/>
    <n v="97"/>
    <n v="56"/>
    <n v="71.8"/>
    <s v="Pass"/>
    <s v="B"/>
    <n v="0"/>
    <x v="0"/>
    <x v="0"/>
  </r>
  <r>
    <s v="ST114"/>
    <x v="0"/>
    <n v="23"/>
    <s v="CSE"/>
    <n v="7"/>
    <n v="75"/>
    <n v="1.7"/>
    <n v="73"/>
    <n v="43"/>
    <n v="90"/>
    <n v="49"/>
    <n v="86"/>
    <n v="88"/>
    <n v="35"/>
    <n v="69.599999999999994"/>
    <s v="Fail"/>
    <s v="B"/>
    <n v="1"/>
    <x v="0"/>
    <x v="1"/>
  </r>
  <r>
    <s v="ST115"/>
    <x v="0"/>
    <n v="24"/>
    <s v="ECE"/>
    <n v="7"/>
    <n v="75"/>
    <n v="4.0999999999999996"/>
    <n v="54"/>
    <n v="32"/>
    <n v="30"/>
    <n v="58"/>
    <n v="71"/>
    <n v="91"/>
    <n v="79"/>
    <n v="65.8"/>
    <s v="Fail"/>
    <s v="B"/>
    <n v="1"/>
    <x v="0"/>
    <x v="1"/>
  </r>
  <r>
    <s v="ST116"/>
    <x v="1"/>
    <n v="22"/>
    <s v="ECE"/>
    <n v="7"/>
    <n v="75"/>
    <n v="5.9"/>
    <n v="73"/>
    <n v="47"/>
    <n v="38"/>
    <n v="83"/>
    <n v="66"/>
    <n v="87"/>
    <n v="42"/>
    <n v="63.2"/>
    <s v="Fail"/>
    <s v="B"/>
    <n v="1"/>
    <x v="0"/>
    <x v="1"/>
  </r>
  <r>
    <s v="ST117"/>
    <x v="1"/>
    <n v="22"/>
    <s v="CSE"/>
    <n v="8"/>
    <n v="94"/>
    <n v="4"/>
    <n v="86"/>
    <n v="27"/>
    <n v="41"/>
    <n v="36"/>
    <n v="61"/>
    <n v="60"/>
    <n v="68"/>
    <n v="53.2"/>
    <s v="Fail"/>
    <s v="C"/>
    <n v="1"/>
    <x v="1"/>
    <x v="1"/>
  </r>
  <r>
    <s v="ST118"/>
    <x v="0"/>
    <n v="21"/>
    <s v="CIVIL"/>
    <n v="8"/>
    <n v="85"/>
    <n v="2.2999999999999998"/>
    <n v="95"/>
    <n v="36"/>
    <n v="75"/>
    <n v="70"/>
    <n v="90"/>
    <n v="78"/>
    <n v="94"/>
    <n v="81.399999999999991"/>
    <s v="Pass"/>
    <s v="A"/>
    <n v="0"/>
    <x v="2"/>
    <x v="0"/>
  </r>
  <r>
    <s v="ST119"/>
    <x v="0"/>
    <n v="21"/>
    <s v="ME"/>
    <n v="7"/>
    <n v="81"/>
    <n v="1.9"/>
    <n v="81"/>
    <n v="26"/>
    <n v="41"/>
    <n v="10"/>
    <n v="86"/>
    <n v="84"/>
    <n v="58"/>
    <n v="55.800000000000004"/>
    <s v="Fail"/>
    <s v="C"/>
    <n v="1"/>
    <x v="1"/>
    <x v="1"/>
  </r>
  <r>
    <s v="ST120"/>
    <x v="1"/>
    <n v="24"/>
    <s v="CIVIL"/>
    <n v="8"/>
    <n v="79"/>
    <n v="5.9"/>
    <n v="84"/>
    <n v="46"/>
    <n v="24"/>
    <n v="68"/>
    <n v="22"/>
    <n v="83"/>
    <n v="93"/>
    <n v="57.999999999999993"/>
    <s v="Fail"/>
    <s v="C"/>
    <n v="2"/>
    <x v="1"/>
    <x v="1"/>
  </r>
  <r>
    <s v="ST121"/>
    <x v="1"/>
    <n v="23"/>
    <s v="CIVIL"/>
    <n v="8"/>
    <n v="51"/>
    <n v="4.5999999999999996"/>
    <n v="68"/>
    <n v="34"/>
    <n v="27"/>
    <n v="32"/>
    <n v="57"/>
    <n v="73"/>
    <n v="34"/>
    <n v="44.6"/>
    <s v="Fail"/>
    <s v="D"/>
    <n v="3"/>
    <x v="1"/>
    <x v="1"/>
  </r>
  <r>
    <s v="ST122"/>
    <x v="1"/>
    <n v="23"/>
    <s v="CIVIL"/>
    <n v="7"/>
    <n v="81"/>
    <n v="5.3"/>
    <n v="71"/>
    <n v="35"/>
    <n v="35"/>
    <n v="30"/>
    <n v="37"/>
    <n v="93"/>
    <n v="84"/>
    <n v="55.800000000000004"/>
    <s v="Fail"/>
    <s v="C"/>
    <n v="3"/>
    <x v="1"/>
    <x v="1"/>
  </r>
  <r>
    <s v="ST123"/>
    <x v="1"/>
    <n v="23"/>
    <s v="ME"/>
    <n v="8"/>
    <n v="85"/>
    <n v="1.7"/>
    <n v="96"/>
    <n v="39"/>
    <n v="51"/>
    <n v="71"/>
    <n v="78"/>
    <n v="97"/>
    <n v="39"/>
    <n v="67.2"/>
    <s v="Fail"/>
    <s v="B"/>
    <n v="1"/>
    <x v="0"/>
    <x v="1"/>
  </r>
  <r>
    <s v="ST124"/>
    <x v="0"/>
    <n v="24"/>
    <s v="ECE"/>
    <n v="8"/>
    <n v="83"/>
    <n v="1.5"/>
    <n v="90"/>
    <n v="19"/>
    <n v="20"/>
    <n v="62"/>
    <n v="27"/>
    <n v="90"/>
    <n v="41"/>
    <n v="48"/>
    <s v="Fail"/>
    <s v="D"/>
    <n v="2"/>
    <x v="1"/>
    <x v="1"/>
  </r>
  <r>
    <s v="ST125"/>
    <x v="1"/>
    <n v="21"/>
    <s v="ME"/>
    <n v="8"/>
    <n v="77"/>
    <n v="1.1000000000000001"/>
    <n v="76"/>
    <n v="49"/>
    <n v="11"/>
    <n v="73"/>
    <n v="53"/>
    <n v="90"/>
    <n v="69"/>
    <n v="59.199999999999996"/>
    <s v="Fail"/>
    <s v="C"/>
    <n v="1"/>
    <x v="1"/>
    <x v="1"/>
  </r>
  <r>
    <s v="ST126"/>
    <x v="1"/>
    <n v="21"/>
    <s v="ECE"/>
    <n v="7"/>
    <n v="79"/>
    <n v="3.8"/>
    <n v="80"/>
    <n v="47"/>
    <n v="68"/>
    <n v="95"/>
    <n v="53"/>
    <n v="96"/>
    <n v="63"/>
    <n v="75"/>
    <s v="Pass"/>
    <s v="B"/>
    <n v="0"/>
    <x v="0"/>
    <x v="0"/>
  </r>
  <r>
    <s v="ST127"/>
    <x v="0"/>
    <n v="22"/>
    <s v="ECE"/>
    <n v="8"/>
    <n v="84"/>
    <n v="2.2000000000000002"/>
    <n v="95"/>
    <n v="33"/>
    <n v="14"/>
    <n v="74"/>
    <n v="61"/>
    <n v="69"/>
    <n v="56"/>
    <n v="54.800000000000004"/>
    <s v="Fail"/>
    <s v="C"/>
    <n v="1"/>
    <x v="1"/>
    <x v="1"/>
  </r>
  <r>
    <s v="ST128"/>
    <x v="1"/>
    <n v="24"/>
    <s v="CIVIL"/>
    <n v="8"/>
    <n v="84"/>
    <n v="3"/>
    <n v="86"/>
    <n v="37"/>
    <n v="88"/>
    <n v="91"/>
    <n v="56"/>
    <n v="98"/>
    <n v="55"/>
    <n v="77.600000000000009"/>
    <s v="Pass"/>
    <s v="B"/>
    <n v="0"/>
    <x v="0"/>
    <x v="0"/>
  </r>
  <r>
    <s v="ST129"/>
    <x v="1"/>
    <n v="21"/>
    <s v="CIVIL"/>
    <n v="7"/>
    <n v="90"/>
    <n v="2.4"/>
    <n v="87"/>
    <n v="44"/>
    <n v="20"/>
    <n v="14"/>
    <n v="84"/>
    <n v="69"/>
    <n v="91"/>
    <n v="55.600000000000009"/>
    <s v="Fail"/>
    <s v="C"/>
    <n v="2"/>
    <x v="1"/>
    <x v="1"/>
  </r>
  <r>
    <s v="ST130"/>
    <x v="0"/>
    <n v="21"/>
    <s v="CIVIL"/>
    <n v="7"/>
    <n v="88"/>
    <n v="3.2"/>
    <n v="98"/>
    <n v="38"/>
    <n v="46"/>
    <n v="24"/>
    <n v="66"/>
    <n v="95"/>
    <n v="38"/>
    <n v="53.800000000000004"/>
    <s v="Fail"/>
    <s v="C"/>
    <n v="2"/>
    <x v="1"/>
    <x v="1"/>
  </r>
  <r>
    <s v="ST131"/>
    <x v="1"/>
    <n v="24"/>
    <s v="CSE"/>
    <n v="7"/>
    <n v="89"/>
    <n v="2.6"/>
    <n v="100"/>
    <n v="18"/>
    <n v="20"/>
    <n v="41"/>
    <n v="48"/>
    <n v="57"/>
    <n v="68"/>
    <n v="46.800000000000004"/>
    <s v="Fail"/>
    <s v="D"/>
    <n v="1"/>
    <x v="1"/>
    <x v="1"/>
  </r>
  <r>
    <s v="ST132"/>
    <x v="1"/>
    <n v="23"/>
    <s v="ECE"/>
    <n v="7"/>
    <n v="86"/>
    <n v="4.5999999999999996"/>
    <n v="73"/>
    <n v="21"/>
    <n v="21"/>
    <n v="43"/>
    <n v="50"/>
    <n v="50"/>
    <n v="47"/>
    <n v="42.199999999999996"/>
    <s v="Fail"/>
    <s v="D"/>
    <n v="1"/>
    <x v="1"/>
    <x v="1"/>
  </r>
  <r>
    <s v="ST133"/>
    <x v="0"/>
    <n v="21"/>
    <s v="ECE"/>
    <n v="7"/>
    <n v="81"/>
    <n v="2.8"/>
    <n v="93"/>
    <n v="47"/>
    <n v="70"/>
    <n v="35"/>
    <n v="67"/>
    <n v="88"/>
    <n v="64"/>
    <n v="64.8"/>
    <s v="Fail"/>
    <s v="B"/>
    <n v="1"/>
    <x v="0"/>
    <x v="1"/>
  </r>
  <r>
    <s v="ST134"/>
    <x v="1"/>
    <n v="22"/>
    <s v="CIVIL"/>
    <n v="7"/>
    <n v="75"/>
    <n v="4.2"/>
    <n v="87"/>
    <n v="29"/>
    <n v="57"/>
    <n v="39"/>
    <n v="31"/>
    <n v="74"/>
    <n v="75"/>
    <n v="55.2"/>
    <s v="Fail"/>
    <s v="C"/>
    <n v="2"/>
    <x v="1"/>
    <x v="1"/>
  </r>
  <r>
    <s v="ST135"/>
    <x v="0"/>
    <n v="21"/>
    <s v="CSE"/>
    <n v="7"/>
    <n v="93"/>
    <n v="4.0999999999999996"/>
    <n v="91"/>
    <n v="22"/>
    <n v="36"/>
    <n v="25"/>
    <n v="83"/>
    <n v="100"/>
    <n v="52"/>
    <n v="59.199999999999996"/>
    <s v="Fail"/>
    <s v="C"/>
    <n v="2"/>
    <x v="1"/>
    <x v="1"/>
  </r>
  <r>
    <s v="ST136"/>
    <x v="1"/>
    <n v="21"/>
    <s v="ECE"/>
    <n v="7"/>
    <n v="88"/>
    <n v="5.9"/>
    <n v="94"/>
    <n v="19"/>
    <n v="51"/>
    <n v="86"/>
    <n v="82"/>
    <n v="82"/>
    <n v="67"/>
    <n v="73.599999999999994"/>
    <s v="Pass"/>
    <s v="B"/>
    <n v="0"/>
    <x v="0"/>
    <x v="0"/>
  </r>
  <r>
    <s v="ST137"/>
    <x v="0"/>
    <n v="21"/>
    <s v="ECE"/>
    <n v="7"/>
    <n v="85"/>
    <n v="2.9"/>
    <n v="92"/>
    <n v="31"/>
    <n v="32"/>
    <n v="89"/>
    <n v="23"/>
    <n v="80"/>
    <n v="34"/>
    <n v="51.6"/>
    <s v="Fail"/>
    <s v="C"/>
    <n v="3"/>
    <x v="1"/>
    <x v="1"/>
  </r>
  <r>
    <s v="ST138"/>
    <x v="0"/>
    <n v="21"/>
    <s v="ME"/>
    <n v="7"/>
    <n v="42"/>
    <n v="5.9"/>
    <n v="64"/>
    <n v="23"/>
    <n v="45"/>
    <n v="34"/>
    <n v="65"/>
    <n v="66"/>
    <n v="69"/>
    <n v="55.800000000000004"/>
    <s v="Fail"/>
    <s v="C"/>
    <n v="1"/>
    <x v="1"/>
    <x v="1"/>
  </r>
  <r>
    <s v="ST139"/>
    <x v="1"/>
    <n v="21"/>
    <s v="CSE"/>
    <n v="8"/>
    <n v="93"/>
    <n v="5.0999999999999996"/>
    <n v="99"/>
    <n v="31"/>
    <n v="60"/>
    <n v="78"/>
    <n v="66"/>
    <n v="60"/>
    <n v="52"/>
    <n v="63.2"/>
    <s v="Pass"/>
    <s v="B"/>
    <n v="0"/>
    <x v="0"/>
    <x v="0"/>
  </r>
  <r>
    <s v="ST140"/>
    <x v="0"/>
    <n v="23"/>
    <s v="ME"/>
    <n v="7"/>
    <n v="61"/>
    <n v="2.5"/>
    <n v="59"/>
    <n v="39"/>
    <n v="58"/>
    <n v="75"/>
    <n v="92"/>
    <n v="98"/>
    <n v="89"/>
    <n v="82.399999999999991"/>
    <s v="Pass"/>
    <s v="A"/>
    <n v="0"/>
    <x v="2"/>
    <x v="0"/>
  </r>
  <r>
    <s v="ST141"/>
    <x v="1"/>
    <n v="24"/>
    <s v="ECE"/>
    <n v="7"/>
    <n v="85"/>
    <n v="2.2000000000000002"/>
    <n v="85"/>
    <n v="34"/>
    <n v="33"/>
    <n v="21"/>
    <n v="56"/>
    <n v="65"/>
    <n v="38"/>
    <n v="42.6"/>
    <s v="Fail"/>
    <s v="D"/>
    <n v="3"/>
    <x v="1"/>
    <x v="1"/>
  </r>
  <r>
    <s v="ST142"/>
    <x v="0"/>
    <n v="21"/>
    <s v="CSE"/>
    <n v="8"/>
    <n v="66"/>
    <n v="1.1000000000000001"/>
    <n v="67"/>
    <n v="41"/>
    <n v="24"/>
    <n v="24"/>
    <n v="29"/>
    <n v="79"/>
    <n v="68"/>
    <n v="44.800000000000004"/>
    <s v="Fail"/>
    <s v="D"/>
    <n v="3"/>
    <x v="1"/>
    <x v="1"/>
  </r>
  <r>
    <s v="ST143"/>
    <x v="0"/>
    <n v="23"/>
    <s v="ECE"/>
    <n v="7"/>
    <n v="46"/>
    <n v="3.7"/>
    <n v="67"/>
    <n v="26"/>
    <n v="42"/>
    <n v="30"/>
    <n v="57"/>
    <n v="89"/>
    <n v="31"/>
    <n v="49.8"/>
    <s v="Fail"/>
    <s v="D"/>
    <n v="2"/>
    <x v="1"/>
    <x v="1"/>
  </r>
  <r>
    <s v="ST144"/>
    <x v="1"/>
    <n v="23"/>
    <s v="CSE"/>
    <n v="8"/>
    <n v="80"/>
    <n v="2.8"/>
    <n v="84"/>
    <n v="21"/>
    <n v="77"/>
    <n v="19"/>
    <n v="69"/>
    <n v="94"/>
    <n v="82"/>
    <n v="68.2"/>
    <s v="Fail"/>
    <s v="B"/>
    <n v="1"/>
    <x v="0"/>
    <x v="1"/>
  </r>
  <r>
    <s v="ST145"/>
    <x v="0"/>
    <n v="21"/>
    <s v="CIVIL"/>
    <n v="8"/>
    <n v="94"/>
    <n v="3.4"/>
    <n v="91"/>
    <n v="48"/>
    <n v="59"/>
    <n v="79"/>
    <n v="28"/>
    <n v="96"/>
    <n v="48"/>
    <n v="62"/>
    <s v="Fail"/>
    <s v="B"/>
    <n v="1"/>
    <x v="0"/>
    <x v="1"/>
  </r>
  <r>
    <s v="ST146"/>
    <x v="0"/>
    <n v="21"/>
    <s v="CSE"/>
    <n v="8"/>
    <n v="79"/>
    <n v="1.8"/>
    <n v="85"/>
    <n v="23"/>
    <n v="21"/>
    <n v="94"/>
    <n v="27"/>
    <n v="61"/>
    <n v="90"/>
    <n v="58.599999999999994"/>
    <s v="Fail"/>
    <s v="C"/>
    <n v="2"/>
    <x v="1"/>
    <x v="1"/>
  </r>
  <r>
    <s v="ST147"/>
    <x v="0"/>
    <n v="24"/>
    <s v="CIVIL"/>
    <n v="8"/>
    <n v="93"/>
    <n v="2.6"/>
    <n v="75"/>
    <n v="34"/>
    <n v="74"/>
    <n v="89"/>
    <n v="80"/>
    <n v="51"/>
    <n v="53"/>
    <n v="69.399999999999991"/>
    <s v="Pass"/>
    <s v="B"/>
    <n v="0"/>
    <x v="0"/>
    <x v="0"/>
  </r>
  <r>
    <s v="ST148"/>
    <x v="0"/>
    <n v="23"/>
    <s v="CSE"/>
    <n v="7"/>
    <n v="56"/>
    <n v="5.9"/>
    <n v="68"/>
    <n v="41"/>
    <n v="60"/>
    <n v="64"/>
    <n v="82"/>
    <n v="67"/>
    <n v="81"/>
    <n v="70.8"/>
    <s v="Pass"/>
    <s v="B"/>
    <n v="0"/>
    <x v="0"/>
    <x v="0"/>
  </r>
  <r>
    <s v="ST149"/>
    <x v="1"/>
    <n v="21"/>
    <s v="ECE"/>
    <n v="8"/>
    <n v="75"/>
    <n v="1.1000000000000001"/>
    <n v="57"/>
    <n v="26"/>
    <n v="32"/>
    <n v="60"/>
    <n v="95"/>
    <n v="98"/>
    <n v="85"/>
    <n v="74"/>
    <s v="Fail"/>
    <s v="B"/>
    <n v="1"/>
    <x v="0"/>
    <x v="1"/>
  </r>
  <r>
    <s v="ST150"/>
    <x v="0"/>
    <n v="22"/>
    <s v="ECE"/>
    <n v="8"/>
    <n v="45"/>
    <n v="5.7"/>
    <n v="51"/>
    <n v="45"/>
    <n v="28"/>
    <n v="80"/>
    <n v="23"/>
    <n v="63"/>
    <n v="86"/>
    <n v="56.000000000000007"/>
    <s v="Fail"/>
    <s v="C"/>
    <n v="2"/>
    <x v="1"/>
    <x v="1"/>
  </r>
  <r>
    <s v="ST151"/>
    <x v="1"/>
    <n v="23"/>
    <s v="CSE"/>
    <n v="8"/>
    <n v="90"/>
    <n v="3.6"/>
    <n v="90"/>
    <n v="36"/>
    <n v="19"/>
    <n v="91"/>
    <n v="79"/>
    <n v="74"/>
    <n v="88"/>
    <n v="70.199999999999989"/>
    <s v="Fail"/>
    <s v="B"/>
    <n v="1"/>
    <x v="0"/>
    <x v="1"/>
  </r>
  <r>
    <s v="ST152"/>
    <x v="0"/>
    <n v="21"/>
    <s v="ECE"/>
    <n v="8"/>
    <n v="47"/>
    <n v="2.2999999999999998"/>
    <n v="67"/>
    <n v="27"/>
    <n v="70"/>
    <n v="42"/>
    <n v="23"/>
    <n v="62"/>
    <n v="62"/>
    <n v="51.800000000000004"/>
    <s v="Fail"/>
    <s v="C"/>
    <n v="1"/>
    <x v="1"/>
    <x v="1"/>
  </r>
  <r>
    <s v="ST153"/>
    <x v="1"/>
    <n v="24"/>
    <s v="ME"/>
    <n v="7"/>
    <n v="53"/>
    <n v="2.2999999999999998"/>
    <n v="52"/>
    <n v="21"/>
    <n v="26"/>
    <n v="89"/>
    <n v="69"/>
    <n v="62"/>
    <n v="91"/>
    <n v="67.400000000000006"/>
    <s v="Fail"/>
    <s v="B"/>
    <n v="1"/>
    <x v="0"/>
    <x v="1"/>
  </r>
  <r>
    <s v="ST154"/>
    <x v="0"/>
    <n v="22"/>
    <s v="ECE"/>
    <n v="8"/>
    <n v="81"/>
    <n v="3.7"/>
    <n v="92"/>
    <n v="29"/>
    <n v="85"/>
    <n v="82"/>
    <n v="28"/>
    <n v="100"/>
    <n v="53"/>
    <n v="69.599999999999994"/>
    <s v="Fail"/>
    <s v="B"/>
    <n v="1"/>
    <x v="0"/>
    <x v="1"/>
  </r>
  <r>
    <s v="ST155"/>
    <x v="1"/>
    <n v="21"/>
    <s v="CSE"/>
    <n v="8"/>
    <n v="51"/>
    <n v="3.8"/>
    <n v="64"/>
    <n v="37"/>
    <n v="11"/>
    <n v="43"/>
    <n v="40"/>
    <n v="68"/>
    <n v="41"/>
    <n v="40.6"/>
    <s v="Fail"/>
    <s v="D"/>
    <n v="1"/>
    <x v="1"/>
    <x v="1"/>
  </r>
  <r>
    <s v="ST156"/>
    <x v="0"/>
    <n v="22"/>
    <s v="ME"/>
    <n v="8"/>
    <n v="85"/>
    <n v="4.7"/>
    <n v="96"/>
    <n v="48"/>
    <n v="16"/>
    <n v="46"/>
    <n v="74"/>
    <n v="61"/>
    <n v="99"/>
    <n v="59.199999999999996"/>
    <s v="Fail"/>
    <s v="C"/>
    <n v="1"/>
    <x v="1"/>
    <x v="1"/>
  </r>
  <r>
    <s v="ST157"/>
    <x v="1"/>
    <n v="22"/>
    <s v="CIVIL"/>
    <n v="8"/>
    <n v="65"/>
    <n v="3.4"/>
    <n v="60"/>
    <n v="28"/>
    <n v="49"/>
    <n v="56"/>
    <n v="51"/>
    <n v="93"/>
    <n v="69"/>
    <n v="63.6"/>
    <s v="Pass"/>
    <s v="B"/>
    <n v="0"/>
    <x v="0"/>
    <x v="0"/>
  </r>
  <r>
    <s v="ST158"/>
    <x v="1"/>
    <n v="21"/>
    <s v="CIVIL"/>
    <n v="7"/>
    <n v="70"/>
    <n v="3.4"/>
    <n v="58"/>
    <n v="39"/>
    <n v="10"/>
    <n v="60"/>
    <n v="93"/>
    <n v="54"/>
    <n v="55"/>
    <n v="54.400000000000006"/>
    <s v="Fail"/>
    <s v="C"/>
    <n v="1"/>
    <x v="1"/>
    <x v="1"/>
  </r>
  <r>
    <s v="ST159"/>
    <x v="1"/>
    <n v="24"/>
    <s v="CSE"/>
    <n v="7"/>
    <n v="73"/>
    <n v="5.5"/>
    <n v="57"/>
    <n v="24"/>
    <n v="70"/>
    <n v="28"/>
    <n v="95"/>
    <n v="82"/>
    <n v="100"/>
    <n v="75"/>
    <s v="Fail"/>
    <s v="B"/>
    <n v="1"/>
    <x v="0"/>
    <x v="1"/>
  </r>
  <r>
    <s v="ST160"/>
    <x v="1"/>
    <n v="24"/>
    <s v="CIVIL"/>
    <n v="8"/>
    <n v="56"/>
    <n v="4"/>
    <n v="53"/>
    <n v="24"/>
    <n v="73"/>
    <n v="94"/>
    <n v="32"/>
    <n v="66"/>
    <n v="79"/>
    <n v="68.8"/>
    <s v="Fail"/>
    <s v="B"/>
    <n v="1"/>
    <x v="0"/>
    <x v="1"/>
  </r>
  <r>
    <s v="ST161"/>
    <x v="0"/>
    <n v="22"/>
    <s v="CIVIL"/>
    <n v="7"/>
    <n v="76"/>
    <n v="5.4"/>
    <n v="86"/>
    <n v="44"/>
    <n v="26"/>
    <n v="51"/>
    <n v="45"/>
    <n v="99"/>
    <n v="42"/>
    <n v="52.6"/>
    <s v="Fail"/>
    <s v="C"/>
    <n v="1"/>
    <x v="1"/>
    <x v="1"/>
  </r>
  <r>
    <s v="ST162"/>
    <x v="1"/>
    <n v="23"/>
    <s v="CSE"/>
    <n v="8"/>
    <n v="92"/>
    <n v="2.7"/>
    <n v="89"/>
    <n v="50"/>
    <n v="83"/>
    <n v="91"/>
    <n v="54"/>
    <n v="65"/>
    <n v="88"/>
    <n v="76.2"/>
    <s v="Pass"/>
    <s v="B"/>
    <n v="0"/>
    <x v="0"/>
    <x v="0"/>
  </r>
  <r>
    <s v="ST163"/>
    <x v="1"/>
    <n v="22"/>
    <s v="ECE"/>
    <n v="8"/>
    <n v="92"/>
    <n v="1.8"/>
    <n v="88"/>
    <n v="25"/>
    <n v="63"/>
    <n v="18"/>
    <n v="82"/>
    <n v="95"/>
    <n v="81"/>
    <n v="67.800000000000011"/>
    <s v="Fail"/>
    <s v="B"/>
    <n v="1"/>
    <x v="0"/>
    <x v="1"/>
  </r>
  <r>
    <s v="ST164"/>
    <x v="1"/>
    <n v="24"/>
    <s v="CSE"/>
    <n v="8"/>
    <n v="42"/>
    <n v="3.1"/>
    <n v="59"/>
    <n v="22"/>
    <n v="36"/>
    <n v="76"/>
    <n v="84"/>
    <n v="86"/>
    <n v="72"/>
    <n v="70.8"/>
    <s v="Fail"/>
    <s v="B"/>
    <n v="1"/>
    <x v="0"/>
    <x v="1"/>
  </r>
  <r>
    <s v="ST165"/>
    <x v="0"/>
    <n v="23"/>
    <s v="ME"/>
    <n v="8"/>
    <n v="93"/>
    <n v="5.2"/>
    <n v="74"/>
    <n v="37"/>
    <n v="26"/>
    <n v="78"/>
    <n v="48"/>
    <n v="54"/>
    <n v="59"/>
    <n v="53"/>
    <s v="Fail"/>
    <s v="C"/>
    <n v="1"/>
    <x v="1"/>
    <x v="1"/>
  </r>
  <r>
    <s v="ST166"/>
    <x v="0"/>
    <n v="23"/>
    <s v="ME"/>
    <n v="8"/>
    <n v="73"/>
    <n v="5.3"/>
    <n v="62"/>
    <n v="46"/>
    <n v="63"/>
    <n v="58"/>
    <n v="75"/>
    <n v="65"/>
    <n v="91"/>
    <n v="70.399999999999991"/>
    <s v="Pass"/>
    <s v="B"/>
    <n v="0"/>
    <x v="0"/>
    <x v="0"/>
  </r>
  <r>
    <s v="ST167"/>
    <x v="1"/>
    <n v="23"/>
    <s v="CSE"/>
    <n v="7"/>
    <n v="84"/>
    <n v="4.7"/>
    <n v="78"/>
    <n v="49"/>
    <n v="71"/>
    <n v="68"/>
    <n v="31"/>
    <n v="78"/>
    <n v="83"/>
    <n v="66.2"/>
    <s v="Fail"/>
    <s v="B"/>
    <n v="1"/>
    <x v="0"/>
    <x v="1"/>
  </r>
  <r>
    <s v="ST168"/>
    <x v="0"/>
    <n v="23"/>
    <s v="ME"/>
    <n v="8"/>
    <n v="76"/>
    <n v="4.2"/>
    <n v="83"/>
    <n v="38"/>
    <n v="58"/>
    <n v="86"/>
    <n v="97"/>
    <n v="91"/>
    <n v="47"/>
    <n v="75.8"/>
    <s v="Pass"/>
    <s v="B"/>
    <n v="0"/>
    <x v="0"/>
    <x v="0"/>
  </r>
  <r>
    <s v="ST169"/>
    <x v="1"/>
    <n v="23"/>
    <s v="CSE"/>
    <n v="7"/>
    <n v="57"/>
    <n v="4.0999999999999996"/>
    <n v="56"/>
    <n v="32"/>
    <n v="29"/>
    <n v="58"/>
    <n v="94"/>
    <n v="79"/>
    <n v="33"/>
    <n v="58.599999999999994"/>
    <s v="Fail"/>
    <s v="C"/>
    <n v="2"/>
    <x v="1"/>
    <x v="1"/>
  </r>
  <r>
    <s v="ST170"/>
    <x v="0"/>
    <n v="21"/>
    <s v="ME"/>
    <n v="8"/>
    <n v="67"/>
    <n v="2.2999999999999998"/>
    <n v="51"/>
    <n v="39"/>
    <n v="55"/>
    <n v="91"/>
    <n v="37"/>
    <n v="97"/>
    <n v="34"/>
    <n v="62.8"/>
    <s v="Fail"/>
    <s v="B"/>
    <n v="2"/>
    <x v="0"/>
    <x v="1"/>
  </r>
  <r>
    <s v="ST171"/>
    <x v="0"/>
    <n v="22"/>
    <s v="CSE"/>
    <n v="8"/>
    <n v="85"/>
    <n v="3.5"/>
    <n v="74"/>
    <n v="41"/>
    <n v="10"/>
    <n v="46"/>
    <n v="72"/>
    <n v="97"/>
    <n v="86"/>
    <n v="62.2"/>
    <s v="Fail"/>
    <s v="B"/>
    <n v="1"/>
    <x v="0"/>
    <x v="1"/>
  </r>
  <r>
    <s v="ST172"/>
    <x v="1"/>
    <n v="24"/>
    <s v="ECE"/>
    <n v="7"/>
    <n v="64"/>
    <n v="6"/>
    <n v="51"/>
    <n v="20"/>
    <n v="70"/>
    <n v="61"/>
    <n v="24"/>
    <n v="64"/>
    <n v="43"/>
    <n v="52.400000000000006"/>
    <s v="Fail"/>
    <s v="C"/>
    <n v="1"/>
    <x v="1"/>
    <x v="1"/>
  </r>
  <r>
    <s v="ST173"/>
    <x v="0"/>
    <n v="24"/>
    <s v="CSE"/>
    <n v="8"/>
    <n v="92"/>
    <n v="4.3"/>
    <n v="71"/>
    <n v="49"/>
    <n v="88"/>
    <n v="21"/>
    <n v="69"/>
    <n v="78"/>
    <n v="78"/>
    <n v="66.8"/>
    <s v="Fail"/>
    <s v="B"/>
    <n v="1"/>
    <x v="0"/>
    <x v="1"/>
  </r>
  <r>
    <s v="ST174"/>
    <x v="0"/>
    <n v="24"/>
    <s v="ME"/>
    <n v="7"/>
    <n v="60"/>
    <n v="1.8"/>
    <n v="57"/>
    <n v="38"/>
    <n v="15"/>
    <n v="23"/>
    <n v="93"/>
    <n v="75"/>
    <n v="81"/>
    <n v="57.4"/>
    <s v="Fail"/>
    <s v="C"/>
    <n v="2"/>
    <x v="1"/>
    <x v="1"/>
  </r>
  <r>
    <s v="ST175"/>
    <x v="1"/>
    <n v="23"/>
    <s v="CSE"/>
    <n v="7"/>
    <n v="45"/>
    <n v="1.9"/>
    <n v="53"/>
    <n v="41"/>
    <n v="71"/>
    <n v="46"/>
    <n v="85"/>
    <n v="60"/>
    <n v="34"/>
    <n v="59.199999999999996"/>
    <s v="Fail"/>
    <s v="C"/>
    <n v="1"/>
    <x v="1"/>
    <x v="1"/>
  </r>
  <r>
    <s v="ST176"/>
    <x v="1"/>
    <n v="21"/>
    <s v="CSE"/>
    <n v="7"/>
    <n v="94"/>
    <n v="1.7"/>
    <n v="80"/>
    <n v="19"/>
    <n v="76"/>
    <n v="18"/>
    <n v="34"/>
    <n v="60"/>
    <n v="50"/>
    <n v="47.599999999999994"/>
    <s v="Fail"/>
    <s v="D"/>
    <n v="2"/>
    <x v="1"/>
    <x v="1"/>
  </r>
  <r>
    <s v="ST177"/>
    <x v="0"/>
    <n v="24"/>
    <s v="CSE"/>
    <n v="7"/>
    <n v="67"/>
    <n v="2"/>
    <n v="55"/>
    <n v="31"/>
    <n v="59"/>
    <n v="35"/>
    <n v="47"/>
    <n v="89"/>
    <n v="82"/>
    <n v="62.4"/>
    <s v="Fail"/>
    <s v="B"/>
    <n v="1"/>
    <x v="0"/>
    <x v="1"/>
  </r>
  <r>
    <s v="ST178"/>
    <x v="1"/>
    <n v="21"/>
    <s v="ECE"/>
    <n v="8"/>
    <n v="92"/>
    <n v="1.8"/>
    <n v="98"/>
    <n v="42"/>
    <n v="34"/>
    <n v="92"/>
    <n v="69"/>
    <n v="93"/>
    <n v="99"/>
    <n v="77.400000000000006"/>
    <s v="Fail"/>
    <s v="B"/>
    <n v="1"/>
    <x v="0"/>
    <x v="1"/>
  </r>
  <r>
    <s v="ST179"/>
    <x v="1"/>
    <n v="24"/>
    <s v="ECE"/>
    <n v="8"/>
    <n v="86"/>
    <n v="4.2"/>
    <n v="98"/>
    <n v="39"/>
    <n v="90"/>
    <n v="74"/>
    <n v="60"/>
    <n v="56"/>
    <n v="51"/>
    <n v="66.2"/>
    <s v="Pass"/>
    <s v="B"/>
    <n v="0"/>
    <x v="0"/>
    <x v="0"/>
  </r>
  <r>
    <s v="ST180"/>
    <x v="0"/>
    <n v="22"/>
    <s v="CSE"/>
    <n v="7"/>
    <n v="43"/>
    <n v="5.5"/>
    <n v="58"/>
    <n v="35"/>
    <n v="29"/>
    <n v="54"/>
    <n v="87"/>
    <n v="64"/>
    <n v="48"/>
    <n v="56.399999999999991"/>
    <s v="Fail"/>
    <s v="C"/>
    <n v="1"/>
    <x v="1"/>
    <x v="1"/>
  </r>
  <r>
    <s v="ST181"/>
    <x v="0"/>
    <n v="22"/>
    <s v="CIVIL"/>
    <n v="8"/>
    <n v="87"/>
    <n v="2.9"/>
    <n v="91"/>
    <n v="28"/>
    <n v="83"/>
    <n v="80"/>
    <n v="43"/>
    <n v="62"/>
    <n v="84"/>
    <n v="70.399999999999991"/>
    <s v="Pass"/>
    <s v="B"/>
    <n v="0"/>
    <x v="0"/>
    <x v="0"/>
  </r>
  <r>
    <s v="ST182"/>
    <x v="1"/>
    <n v="21"/>
    <s v="CSE"/>
    <n v="8"/>
    <n v="79"/>
    <n v="2.2999999999999998"/>
    <n v="95"/>
    <n v="37"/>
    <n v="49"/>
    <n v="65"/>
    <n v="86"/>
    <n v="55"/>
    <n v="96"/>
    <n v="70.199999999999989"/>
    <s v="Pass"/>
    <s v="B"/>
    <n v="0"/>
    <x v="0"/>
    <x v="0"/>
  </r>
  <r>
    <s v="ST183"/>
    <x v="1"/>
    <n v="22"/>
    <s v="CIVIL"/>
    <n v="7"/>
    <n v="57"/>
    <n v="4.4000000000000004"/>
    <n v="64"/>
    <n v="28"/>
    <n v="33"/>
    <n v="93"/>
    <n v="94"/>
    <n v="97"/>
    <n v="72"/>
    <n v="77.8"/>
    <s v="Fail"/>
    <s v="B"/>
    <n v="1"/>
    <x v="0"/>
    <x v="1"/>
  </r>
  <r>
    <s v="ST184"/>
    <x v="1"/>
    <n v="24"/>
    <s v="ME"/>
    <n v="8"/>
    <n v="66"/>
    <n v="3"/>
    <n v="61"/>
    <n v="40"/>
    <n v="35"/>
    <n v="27"/>
    <n v="40"/>
    <n v="83"/>
    <n v="98"/>
    <n v="56.599999999999994"/>
    <s v="Fail"/>
    <s v="C"/>
    <n v="2"/>
    <x v="1"/>
    <x v="1"/>
  </r>
  <r>
    <s v="ST185"/>
    <x v="1"/>
    <n v="24"/>
    <s v="CSE"/>
    <n v="8"/>
    <n v="40"/>
    <n v="1.9"/>
    <n v="68"/>
    <n v="41"/>
    <n v="62"/>
    <n v="42"/>
    <n v="80"/>
    <n v="75"/>
    <n v="64"/>
    <n v="64.600000000000009"/>
    <s v="Pass"/>
    <s v="B"/>
    <n v="0"/>
    <x v="0"/>
    <x v="0"/>
  </r>
  <r>
    <s v="ST186"/>
    <x v="0"/>
    <n v="21"/>
    <s v="CSE"/>
    <n v="8"/>
    <n v="79"/>
    <n v="1.3"/>
    <n v="92"/>
    <n v="35"/>
    <n v="10"/>
    <n v="19"/>
    <n v="51"/>
    <n v="74"/>
    <n v="92"/>
    <n v="49.2"/>
    <s v="Fail"/>
    <s v="D"/>
    <n v="2"/>
    <x v="1"/>
    <x v="1"/>
  </r>
  <r>
    <s v="ST187"/>
    <x v="1"/>
    <n v="24"/>
    <s v="ME"/>
    <n v="8"/>
    <n v="74"/>
    <n v="3.2"/>
    <n v="59"/>
    <n v="26"/>
    <n v="29"/>
    <n v="57"/>
    <n v="60"/>
    <n v="81"/>
    <n v="36"/>
    <n v="52.6"/>
    <s v="Fail"/>
    <s v="C"/>
    <n v="2"/>
    <x v="1"/>
    <x v="1"/>
  </r>
  <r>
    <s v="ST188"/>
    <x v="1"/>
    <n v="21"/>
    <s v="ECE"/>
    <n v="8"/>
    <n v="89"/>
    <n v="3.3"/>
    <n v="89"/>
    <n v="31"/>
    <n v="83"/>
    <n v="69"/>
    <n v="78"/>
    <n v="90"/>
    <n v="65"/>
    <n v="77"/>
    <s v="Pass"/>
    <s v="B"/>
    <n v="0"/>
    <x v="0"/>
    <x v="0"/>
  </r>
  <r>
    <s v="ST189"/>
    <x v="0"/>
    <n v="22"/>
    <s v="ME"/>
    <n v="8"/>
    <n v="46"/>
    <n v="1.1000000000000001"/>
    <n v="52"/>
    <n v="47"/>
    <n v="24"/>
    <n v="93"/>
    <n v="42"/>
    <n v="97"/>
    <n v="42"/>
    <n v="59.599999999999994"/>
    <s v="Fail"/>
    <s v="C"/>
    <n v="1"/>
    <x v="1"/>
    <x v="1"/>
  </r>
  <r>
    <s v="ST190"/>
    <x v="0"/>
    <n v="23"/>
    <s v="CSE"/>
    <n v="7"/>
    <n v="90"/>
    <n v="2.9"/>
    <n v="83"/>
    <n v="22"/>
    <n v="32"/>
    <n v="63"/>
    <n v="58"/>
    <n v="87"/>
    <n v="37"/>
    <n v="55.400000000000006"/>
    <s v="Fail"/>
    <s v="C"/>
    <n v="2"/>
    <x v="1"/>
    <x v="1"/>
  </r>
  <r>
    <s v="ST191"/>
    <x v="1"/>
    <n v="24"/>
    <s v="ME"/>
    <n v="8"/>
    <n v="79"/>
    <n v="1.5"/>
    <n v="82"/>
    <n v="29"/>
    <n v="68"/>
    <n v="19"/>
    <n v="85"/>
    <n v="74"/>
    <n v="95"/>
    <n v="68.2"/>
    <s v="Fail"/>
    <s v="B"/>
    <n v="1"/>
    <x v="0"/>
    <x v="1"/>
  </r>
  <r>
    <s v="ST192"/>
    <x v="1"/>
    <n v="23"/>
    <s v="ME"/>
    <n v="7"/>
    <n v="55"/>
    <n v="2"/>
    <n v="52"/>
    <n v="31"/>
    <n v="43"/>
    <n v="81"/>
    <n v="68"/>
    <n v="78"/>
    <n v="67"/>
    <n v="67.400000000000006"/>
    <s v="Pass"/>
    <s v="B"/>
    <n v="0"/>
    <x v="0"/>
    <x v="0"/>
  </r>
  <r>
    <s v="ST193"/>
    <x v="0"/>
    <n v="21"/>
    <s v="CSE"/>
    <n v="7"/>
    <n v="85"/>
    <n v="4.2"/>
    <n v="95"/>
    <n v="24"/>
    <n v="20"/>
    <n v="47"/>
    <n v="58"/>
    <n v="65"/>
    <n v="96"/>
    <n v="57.199999999999996"/>
    <s v="Fail"/>
    <s v="C"/>
    <n v="1"/>
    <x v="1"/>
    <x v="1"/>
  </r>
  <r>
    <s v="ST194"/>
    <x v="1"/>
    <n v="22"/>
    <s v="CSE"/>
    <n v="7"/>
    <n v="85"/>
    <n v="4.7"/>
    <n v="94"/>
    <n v="38"/>
    <n v="66"/>
    <n v="91"/>
    <n v="46"/>
    <n v="94"/>
    <n v="89"/>
    <n v="77.2"/>
    <s v="Pass"/>
    <s v="B"/>
    <n v="0"/>
    <x v="0"/>
    <x v="0"/>
  </r>
  <r>
    <s v="ST195"/>
    <x v="1"/>
    <n v="21"/>
    <s v="CSE"/>
    <n v="7"/>
    <n v="83"/>
    <n v="4.4000000000000004"/>
    <n v="76"/>
    <n v="46"/>
    <n v="45"/>
    <n v="58"/>
    <n v="35"/>
    <n v="64"/>
    <n v="83"/>
    <n v="56.999999999999993"/>
    <s v="Fail"/>
    <s v="C"/>
    <n v="1"/>
    <x v="1"/>
    <x v="1"/>
  </r>
  <r>
    <s v="ST196"/>
    <x v="1"/>
    <n v="22"/>
    <s v="ME"/>
    <n v="7"/>
    <n v="76"/>
    <n v="5.6"/>
    <n v="88"/>
    <n v="35"/>
    <n v="56"/>
    <n v="15"/>
    <n v="24"/>
    <n v="64"/>
    <n v="60"/>
    <n v="43.8"/>
    <s v="Fail"/>
    <s v="D"/>
    <n v="2"/>
    <x v="1"/>
    <x v="1"/>
  </r>
  <r>
    <s v="ST197"/>
    <x v="1"/>
    <n v="24"/>
    <s v="CSE"/>
    <n v="7"/>
    <n v="87"/>
    <n v="2.2999999999999998"/>
    <n v="94"/>
    <n v="29"/>
    <n v="68"/>
    <n v="10"/>
    <n v="80"/>
    <n v="81"/>
    <n v="96"/>
    <n v="67"/>
    <s v="Fail"/>
    <s v="B"/>
    <n v="1"/>
    <x v="0"/>
    <x v="1"/>
  </r>
  <r>
    <s v="ST198"/>
    <x v="0"/>
    <n v="24"/>
    <s v="ME"/>
    <n v="8"/>
    <n v="64"/>
    <n v="4.2"/>
    <n v="70"/>
    <n v="45"/>
    <n v="33"/>
    <n v="70"/>
    <n v="42"/>
    <n v="84"/>
    <n v="48"/>
    <n v="55.400000000000006"/>
    <s v="Fail"/>
    <s v="C"/>
    <n v="1"/>
    <x v="1"/>
    <x v="1"/>
  </r>
  <r>
    <s v="ST199"/>
    <x v="1"/>
    <n v="21"/>
    <s v="ME"/>
    <n v="8"/>
    <n v="51"/>
    <n v="5.3"/>
    <n v="52"/>
    <n v="23"/>
    <n v="21"/>
    <n v="35"/>
    <n v="59"/>
    <n v="68"/>
    <n v="49"/>
    <n v="46.400000000000006"/>
    <s v="Fail"/>
    <s v="D"/>
    <n v="2"/>
    <x v="1"/>
    <x v="1"/>
  </r>
  <r>
    <s v="ST200"/>
    <x v="1"/>
    <n v="21"/>
    <s v="CSE"/>
    <n v="8"/>
    <n v="86"/>
    <n v="3.8"/>
    <n v="85"/>
    <n v="49"/>
    <n v="53"/>
    <n v="62"/>
    <n v="80"/>
    <n v="96"/>
    <n v="38"/>
    <n v="65.8"/>
    <s v="Fail"/>
    <s v="B"/>
    <n v="1"/>
    <x v="0"/>
    <x v="1"/>
  </r>
  <r>
    <s v="ST201"/>
    <x v="0"/>
    <n v="21"/>
    <s v="CIVIL"/>
    <n v="7"/>
    <n v="91"/>
    <n v="3.3"/>
    <n v="71"/>
    <n v="18"/>
    <n v="55"/>
    <n v="11"/>
    <n v="49"/>
    <n v="85"/>
    <n v="73"/>
    <n v="54.6"/>
    <s v="Fail"/>
    <s v="C"/>
    <n v="1"/>
    <x v="1"/>
    <x v="1"/>
  </r>
  <r>
    <s v="ST202"/>
    <x v="1"/>
    <n v="21"/>
    <s v="ME"/>
    <n v="7"/>
    <n v="75"/>
    <n v="5.8"/>
    <n v="66"/>
    <n v="23"/>
    <n v="57"/>
    <n v="91"/>
    <n v="92"/>
    <n v="91"/>
    <n v="100"/>
    <n v="86.2"/>
    <s v="Pass"/>
    <s v="A"/>
    <n v="0"/>
    <x v="2"/>
    <x v="0"/>
  </r>
  <r>
    <s v="ST203"/>
    <x v="1"/>
    <n v="22"/>
    <s v="CSE"/>
    <n v="7"/>
    <n v="85"/>
    <n v="2.6"/>
    <n v="86"/>
    <n v="47"/>
    <n v="46"/>
    <n v="94"/>
    <n v="56"/>
    <n v="87"/>
    <n v="56"/>
    <n v="67.800000000000011"/>
    <s v="Pass"/>
    <s v="B"/>
    <n v="0"/>
    <x v="0"/>
    <x v="0"/>
  </r>
  <r>
    <s v="ST204"/>
    <x v="0"/>
    <n v="22"/>
    <s v="CSE"/>
    <n v="8"/>
    <n v="58"/>
    <n v="4.4000000000000004"/>
    <n v="70"/>
    <n v="30"/>
    <n v="48"/>
    <n v="75"/>
    <n v="78"/>
    <n v="71"/>
    <n v="96"/>
    <n v="73.599999999999994"/>
    <s v="Pass"/>
    <s v="B"/>
    <n v="0"/>
    <x v="0"/>
    <x v="0"/>
  </r>
  <r>
    <s v="ST205"/>
    <x v="1"/>
    <n v="22"/>
    <s v="ME"/>
    <n v="7"/>
    <n v="82"/>
    <n v="3.6"/>
    <n v="81"/>
    <n v="22"/>
    <n v="36"/>
    <n v="65"/>
    <n v="64"/>
    <n v="94"/>
    <n v="55"/>
    <n v="62.8"/>
    <s v="Fail"/>
    <s v="B"/>
    <n v="1"/>
    <x v="0"/>
    <x v="1"/>
  </r>
  <r>
    <s v="ST206"/>
    <x v="0"/>
    <n v="24"/>
    <s v="CSE"/>
    <n v="7"/>
    <n v="40"/>
    <n v="4.4000000000000004"/>
    <n v="50"/>
    <n v="39"/>
    <n v="65"/>
    <n v="67"/>
    <n v="41"/>
    <n v="98"/>
    <n v="31"/>
    <n v="60.4"/>
    <s v="Fail"/>
    <s v="B"/>
    <n v="1"/>
    <x v="0"/>
    <x v="1"/>
  </r>
  <r>
    <s v="ST207"/>
    <x v="1"/>
    <n v="23"/>
    <s v="CSE"/>
    <n v="7"/>
    <n v="80"/>
    <n v="2.1"/>
    <n v="89"/>
    <n v="36"/>
    <n v="45"/>
    <n v="24"/>
    <n v="30"/>
    <n v="65"/>
    <n v="58"/>
    <n v="44.4"/>
    <s v="Fail"/>
    <s v="D"/>
    <n v="2"/>
    <x v="1"/>
    <x v="1"/>
  </r>
  <r>
    <s v="ST208"/>
    <x v="1"/>
    <n v="22"/>
    <s v="CIVIL"/>
    <n v="8"/>
    <n v="87"/>
    <n v="5.2"/>
    <n v="94"/>
    <n v="47"/>
    <n v="43"/>
    <n v="82"/>
    <n v="63"/>
    <n v="78"/>
    <n v="74"/>
    <n v="68"/>
    <s v="Pass"/>
    <s v="B"/>
    <n v="0"/>
    <x v="0"/>
    <x v="0"/>
  </r>
  <r>
    <s v="ST209"/>
    <x v="0"/>
    <n v="22"/>
    <s v="ME"/>
    <n v="7"/>
    <n v="79"/>
    <n v="5.3"/>
    <n v="98"/>
    <n v="42"/>
    <n v="19"/>
    <n v="73"/>
    <n v="70"/>
    <n v="58"/>
    <n v="96"/>
    <n v="63.2"/>
    <s v="Fail"/>
    <s v="B"/>
    <n v="1"/>
    <x v="0"/>
    <x v="1"/>
  </r>
  <r>
    <s v="ST210"/>
    <x v="0"/>
    <n v="23"/>
    <s v="ME"/>
    <n v="7"/>
    <n v="88"/>
    <n v="2.2000000000000002"/>
    <n v="92"/>
    <n v="50"/>
    <n v="49"/>
    <n v="74"/>
    <n v="47"/>
    <n v="82"/>
    <n v="84"/>
    <n v="67.2"/>
    <s v="Pass"/>
    <s v="B"/>
    <n v="0"/>
    <x v="0"/>
    <x v="0"/>
  </r>
  <r>
    <s v="ST211"/>
    <x v="1"/>
    <n v="22"/>
    <s v="CSE"/>
    <n v="7"/>
    <n v="78"/>
    <n v="5.8"/>
    <n v="89"/>
    <n v="20"/>
    <n v="62"/>
    <n v="22"/>
    <n v="67"/>
    <n v="50"/>
    <n v="77"/>
    <n v="55.600000000000009"/>
    <s v="Fail"/>
    <s v="C"/>
    <n v="1"/>
    <x v="1"/>
    <x v="1"/>
  </r>
  <r>
    <s v="ST212"/>
    <x v="1"/>
    <n v="24"/>
    <s v="ECE"/>
    <n v="8"/>
    <n v="90"/>
    <n v="5"/>
    <n v="99"/>
    <n v="21"/>
    <n v="67"/>
    <n v="69"/>
    <n v="35"/>
    <n v="69"/>
    <n v="45"/>
    <n v="56.999999999999993"/>
    <s v="Fail"/>
    <s v="C"/>
    <n v="1"/>
    <x v="1"/>
    <x v="1"/>
  </r>
  <r>
    <s v="ST213"/>
    <x v="1"/>
    <n v="23"/>
    <s v="ECE"/>
    <n v="7"/>
    <n v="50"/>
    <n v="1.7"/>
    <n v="56"/>
    <n v="24"/>
    <n v="72"/>
    <n v="12"/>
    <n v="67"/>
    <n v="65"/>
    <n v="59"/>
    <n v="55.000000000000007"/>
    <s v="Fail"/>
    <s v="C"/>
    <n v="1"/>
    <x v="1"/>
    <x v="1"/>
  </r>
  <r>
    <s v="ST214"/>
    <x v="1"/>
    <n v="24"/>
    <s v="ME"/>
    <n v="7"/>
    <n v="75"/>
    <n v="1.4"/>
    <n v="92"/>
    <n v="48"/>
    <n v="58"/>
    <n v="80"/>
    <n v="93"/>
    <n v="77"/>
    <n v="57"/>
    <n v="73"/>
    <s v="Pass"/>
    <s v="B"/>
    <n v="0"/>
    <x v="0"/>
    <x v="0"/>
  </r>
  <r>
    <s v="ST215"/>
    <x v="0"/>
    <n v="22"/>
    <s v="ME"/>
    <n v="8"/>
    <n v="72"/>
    <n v="3.2"/>
    <n v="54"/>
    <n v="44"/>
    <n v="75"/>
    <n v="40"/>
    <n v="41"/>
    <n v="72"/>
    <n v="96"/>
    <n v="64.8"/>
    <s v="Pass"/>
    <s v="B"/>
    <n v="0"/>
    <x v="0"/>
    <x v="0"/>
  </r>
  <r>
    <s v="ST216"/>
    <x v="0"/>
    <n v="22"/>
    <s v="CSE"/>
    <n v="7"/>
    <n v="57"/>
    <n v="5.5"/>
    <n v="52"/>
    <n v="23"/>
    <n v="65"/>
    <n v="59"/>
    <n v="71"/>
    <n v="65"/>
    <n v="55"/>
    <n v="63"/>
    <s v="Pass"/>
    <s v="B"/>
    <n v="0"/>
    <x v="0"/>
    <x v="0"/>
  </r>
  <r>
    <s v="ST217"/>
    <x v="1"/>
    <n v="22"/>
    <s v="CIVIL"/>
    <n v="8"/>
    <n v="65"/>
    <n v="4.7"/>
    <n v="54"/>
    <n v="30"/>
    <n v="38"/>
    <n v="80"/>
    <n v="66"/>
    <n v="97"/>
    <n v="67"/>
    <n v="69.599999999999994"/>
    <s v="Fail"/>
    <s v="B"/>
    <n v="1"/>
    <x v="0"/>
    <x v="1"/>
  </r>
  <r>
    <s v="ST218"/>
    <x v="1"/>
    <n v="23"/>
    <s v="CSE"/>
    <n v="7"/>
    <n v="48"/>
    <n v="3.4"/>
    <n v="64"/>
    <n v="30"/>
    <n v="91"/>
    <n v="37"/>
    <n v="54"/>
    <n v="87"/>
    <n v="60"/>
    <n v="65.8"/>
    <s v="Fail"/>
    <s v="B"/>
    <n v="1"/>
    <x v="0"/>
    <x v="1"/>
  </r>
  <r>
    <s v="ST219"/>
    <x v="0"/>
    <n v="21"/>
    <s v="CIVIL"/>
    <n v="7"/>
    <n v="61"/>
    <n v="2.1"/>
    <n v="66"/>
    <n v="44"/>
    <n v="42"/>
    <n v="43"/>
    <n v="33"/>
    <n v="74"/>
    <n v="95"/>
    <n v="57.4"/>
    <s v="Fail"/>
    <s v="C"/>
    <n v="1"/>
    <x v="1"/>
    <x v="1"/>
  </r>
  <r>
    <s v="ST220"/>
    <x v="0"/>
    <n v="21"/>
    <s v="CSE"/>
    <n v="8"/>
    <n v="93"/>
    <n v="5.5"/>
    <n v="78"/>
    <n v="48"/>
    <n v="84"/>
    <n v="59"/>
    <n v="38"/>
    <n v="71"/>
    <n v="55"/>
    <n v="61.4"/>
    <s v="Fail"/>
    <s v="B"/>
    <n v="1"/>
    <x v="0"/>
    <x v="1"/>
  </r>
  <r>
    <s v="ST221"/>
    <x v="1"/>
    <n v="21"/>
    <s v="CIVIL"/>
    <n v="8"/>
    <n v="87"/>
    <n v="5.0999999999999996"/>
    <n v="89"/>
    <n v="31"/>
    <n v="31"/>
    <n v="54"/>
    <n v="40"/>
    <n v="92"/>
    <n v="56"/>
    <n v="54.6"/>
    <s v="Fail"/>
    <s v="C"/>
    <n v="1"/>
    <x v="1"/>
    <x v="1"/>
  </r>
  <r>
    <s v="ST222"/>
    <x v="0"/>
    <n v="23"/>
    <s v="ME"/>
    <n v="8"/>
    <n v="90"/>
    <n v="4.8"/>
    <n v="91"/>
    <n v="28"/>
    <n v="73"/>
    <n v="51"/>
    <n v="32"/>
    <n v="68"/>
    <n v="73"/>
    <n v="59.4"/>
    <s v="Fail"/>
    <s v="C"/>
    <n v="1"/>
    <x v="1"/>
    <x v="1"/>
  </r>
  <r>
    <s v="ST223"/>
    <x v="1"/>
    <n v="22"/>
    <s v="ME"/>
    <n v="8"/>
    <n v="80"/>
    <n v="1.4"/>
    <n v="81"/>
    <n v="42"/>
    <n v="41"/>
    <n v="73"/>
    <n v="85"/>
    <n v="67"/>
    <n v="74"/>
    <n v="68"/>
    <s v="Pass"/>
    <s v="B"/>
    <n v="0"/>
    <x v="0"/>
    <x v="0"/>
  </r>
  <r>
    <s v="ST224"/>
    <x v="1"/>
    <n v="24"/>
    <s v="ECE"/>
    <n v="8"/>
    <n v="89"/>
    <n v="3.1"/>
    <n v="99"/>
    <n v="50"/>
    <n v="25"/>
    <n v="78"/>
    <n v="61"/>
    <n v="76"/>
    <n v="48"/>
    <n v="57.599999999999994"/>
    <s v="Fail"/>
    <s v="C"/>
    <n v="1"/>
    <x v="1"/>
    <x v="1"/>
  </r>
  <r>
    <s v="ST225"/>
    <x v="1"/>
    <n v="24"/>
    <s v="CSE"/>
    <n v="8"/>
    <n v="88"/>
    <n v="3.9"/>
    <n v="74"/>
    <n v="37"/>
    <n v="65"/>
    <n v="16"/>
    <n v="46"/>
    <n v="75"/>
    <n v="98"/>
    <n v="60"/>
    <s v="Fail"/>
    <s v="C"/>
    <n v="1"/>
    <x v="0"/>
    <x v="1"/>
  </r>
  <r>
    <s v="ST226"/>
    <x v="0"/>
    <n v="24"/>
    <s v="CIVIL"/>
    <n v="7"/>
    <n v="85"/>
    <n v="1.5"/>
    <n v="91"/>
    <n v="36"/>
    <n v="75"/>
    <n v="94"/>
    <n v="68"/>
    <n v="78"/>
    <n v="89"/>
    <n v="80.800000000000011"/>
    <s v="Pass"/>
    <s v="A"/>
    <n v="0"/>
    <x v="2"/>
    <x v="0"/>
  </r>
  <r>
    <s v="ST227"/>
    <x v="0"/>
    <n v="23"/>
    <s v="ME"/>
    <n v="7"/>
    <n v="71"/>
    <n v="2"/>
    <n v="59"/>
    <n v="18"/>
    <n v="34"/>
    <n v="67"/>
    <n v="49"/>
    <n v="69"/>
    <n v="36"/>
    <n v="51"/>
    <s v="Fail"/>
    <s v="C"/>
    <n v="2"/>
    <x v="1"/>
    <x v="1"/>
  </r>
  <r>
    <s v="ST228"/>
    <x v="0"/>
    <n v="21"/>
    <s v="ME"/>
    <n v="7"/>
    <n v="81"/>
    <n v="2.7"/>
    <n v="82"/>
    <n v="22"/>
    <n v="29"/>
    <n v="59"/>
    <n v="59"/>
    <n v="76"/>
    <n v="80"/>
    <n v="60.6"/>
    <s v="Fail"/>
    <s v="B"/>
    <n v="1"/>
    <x v="0"/>
    <x v="1"/>
  </r>
  <r>
    <s v="ST229"/>
    <x v="0"/>
    <n v="21"/>
    <s v="CSE"/>
    <n v="8"/>
    <n v="68"/>
    <n v="2.2999999999999998"/>
    <n v="60"/>
    <n v="44"/>
    <n v="57"/>
    <n v="24"/>
    <n v="43"/>
    <n v="63"/>
    <n v="45"/>
    <n v="46.400000000000006"/>
    <s v="Fail"/>
    <s v="D"/>
    <n v="1"/>
    <x v="1"/>
    <x v="1"/>
  </r>
  <r>
    <s v="ST230"/>
    <x v="0"/>
    <n v="24"/>
    <s v="ME"/>
    <n v="7"/>
    <n v="40"/>
    <n v="2.2999999999999998"/>
    <n v="68"/>
    <n v="43"/>
    <n v="79"/>
    <n v="46"/>
    <n v="36"/>
    <n v="75"/>
    <n v="93"/>
    <n v="65.8"/>
    <s v="Fail"/>
    <s v="B"/>
    <n v="1"/>
    <x v="0"/>
    <x v="1"/>
  </r>
  <r>
    <s v="ST231"/>
    <x v="1"/>
    <n v="22"/>
    <s v="CIVIL"/>
    <n v="7"/>
    <n v="92"/>
    <n v="2.2999999999999998"/>
    <n v="90"/>
    <n v="19"/>
    <n v="19"/>
    <n v="17"/>
    <n v="40"/>
    <n v="86"/>
    <n v="60"/>
    <n v="44.4"/>
    <s v="Fail"/>
    <s v="D"/>
    <n v="2"/>
    <x v="1"/>
    <x v="1"/>
  </r>
  <r>
    <s v="ST232"/>
    <x v="0"/>
    <n v="23"/>
    <s v="CIVIL"/>
    <n v="8"/>
    <n v="40"/>
    <n v="5.3"/>
    <n v="51"/>
    <n v="41"/>
    <n v="55"/>
    <n v="35"/>
    <n v="68"/>
    <n v="75"/>
    <n v="82"/>
    <n v="63"/>
    <s v="Fail"/>
    <s v="B"/>
    <n v="1"/>
    <x v="0"/>
    <x v="1"/>
  </r>
  <r>
    <s v="ST233"/>
    <x v="0"/>
    <n v="23"/>
    <s v="ME"/>
    <n v="8"/>
    <n v="82"/>
    <n v="5.5"/>
    <n v="88"/>
    <n v="43"/>
    <n v="56"/>
    <n v="14"/>
    <n v="87"/>
    <n v="82"/>
    <n v="76"/>
    <n v="63"/>
    <s v="Fail"/>
    <s v="B"/>
    <n v="1"/>
    <x v="0"/>
    <x v="1"/>
  </r>
  <r>
    <s v="ST234"/>
    <x v="1"/>
    <n v="24"/>
    <s v="CSE"/>
    <n v="7"/>
    <n v="81"/>
    <n v="3.2"/>
    <n v="95"/>
    <n v="47"/>
    <n v="49"/>
    <n v="21"/>
    <n v="81"/>
    <n v="71"/>
    <n v="31"/>
    <n v="50.6"/>
    <s v="Fail"/>
    <s v="C"/>
    <n v="2"/>
    <x v="1"/>
    <x v="1"/>
  </r>
  <r>
    <s v="ST235"/>
    <x v="0"/>
    <n v="23"/>
    <s v="ME"/>
    <n v="7"/>
    <n v="52"/>
    <n v="5.4"/>
    <n v="63"/>
    <n v="48"/>
    <n v="94"/>
    <n v="43"/>
    <n v="72"/>
    <n v="92"/>
    <n v="32"/>
    <n v="66.600000000000009"/>
    <s v="Fail"/>
    <s v="B"/>
    <n v="1"/>
    <x v="0"/>
    <x v="1"/>
  </r>
  <r>
    <s v="ST236"/>
    <x v="1"/>
    <n v="23"/>
    <s v="ME"/>
    <n v="8"/>
    <n v="45"/>
    <n v="5.5"/>
    <n v="52"/>
    <n v="26"/>
    <n v="27"/>
    <n v="42"/>
    <n v="67"/>
    <n v="90"/>
    <n v="33"/>
    <n v="51.800000000000004"/>
    <s v="Fail"/>
    <s v="C"/>
    <n v="2"/>
    <x v="1"/>
    <x v="1"/>
  </r>
  <r>
    <s v="ST237"/>
    <x v="1"/>
    <n v="23"/>
    <s v="CSE"/>
    <n v="8"/>
    <n v="60"/>
    <n v="3"/>
    <n v="70"/>
    <n v="33"/>
    <n v="82"/>
    <n v="34"/>
    <n v="75"/>
    <n v="89"/>
    <n v="76"/>
    <n v="71.2"/>
    <s v="Fail"/>
    <s v="B"/>
    <n v="1"/>
    <x v="0"/>
    <x v="1"/>
  </r>
  <r>
    <s v="ST238"/>
    <x v="0"/>
    <n v="23"/>
    <s v="ECE"/>
    <n v="8"/>
    <n v="66"/>
    <n v="5"/>
    <n v="51"/>
    <n v="27"/>
    <n v="28"/>
    <n v="10"/>
    <n v="69"/>
    <n v="91"/>
    <n v="96"/>
    <n v="58.8"/>
    <s v="Fail"/>
    <s v="C"/>
    <n v="2"/>
    <x v="1"/>
    <x v="1"/>
  </r>
  <r>
    <s v="ST239"/>
    <x v="1"/>
    <n v="23"/>
    <s v="ME"/>
    <n v="7"/>
    <n v="46"/>
    <n v="3.5"/>
    <n v="55"/>
    <n v="33"/>
    <n v="23"/>
    <n v="11"/>
    <n v="88"/>
    <n v="62"/>
    <n v="96"/>
    <n v="56.000000000000007"/>
    <s v="Fail"/>
    <s v="C"/>
    <n v="2"/>
    <x v="1"/>
    <x v="1"/>
  </r>
  <r>
    <s v="ST240"/>
    <x v="0"/>
    <n v="21"/>
    <s v="CSE"/>
    <n v="7"/>
    <n v="47"/>
    <n v="1.1000000000000001"/>
    <n v="64"/>
    <n v="25"/>
    <n v="43"/>
    <n v="11"/>
    <n v="93"/>
    <n v="90"/>
    <n v="88"/>
    <n v="65"/>
    <s v="Fail"/>
    <s v="B"/>
    <n v="1"/>
    <x v="0"/>
    <x v="1"/>
  </r>
  <r>
    <s v="ST241"/>
    <x v="1"/>
    <n v="23"/>
    <s v="ECE"/>
    <n v="8"/>
    <n v="93"/>
    <n v="4.0999999999999996"/>
    <n v="79"/>
    <n v="41"/>
    <n v="18"/>
    <n v="37"/>
    <n v="20"/>
    <n v="62"/>
    <n v="88"/>
    <n v="45"/>
    <s v="Fail"/>
    <s v="D"/>
    <n v="3"/>
    <x v="1"/>
    <x v="1"/>
  </r>
  <r>
    <s v="ST242"/>
    <x v="0"/>
    <n v="21"/>
    <s v="ME"/>
    <n v="8"/>
    <n v="83"/>
    <n v="2.8"/>
    <n v="87"/>
    <n v="41"/>
    <n v="38"/>
    <n v="31"/>
    <n v="36"/>
    <n v="72"/>
    <n v="56"/>
    <n v="46.6"/>
    <s v="Fail"/>
    <s v="D"/>
    <n v="3"/>
    <x v="1"/>
    <x v="1"/>
  </r>
  <r>
    <s v="ST243"/>
    <x v="0"/>
    <n v="23"/>
    <s v="ME"/>
    <n v="8"/>
    <n v="83"/>
    <n v="2.9"/>
    <n v="80"/>
    <n v="26"/>
    <n v="14"/>
    <n v="82"/>
    <n v="57"/>
    <n v="78"/>
    <n v="80"/>
    <n v="62.2"/>
    <s v="Fail"/>
    <s v="B"/>
    <n v="1"/>
    <x v="0"/>
    <x v="1"/>
  </r>
  <r>
    <s v="ST244"/>
    <x v="1"/>
    <n v="24"/>
    <s v="ME"/>
    <n v="7"/>
    <n v="83"/>
    <n v="4.5"/>
    <n v="97"/>
    <n v="40"/>
    <n v="19"/>
    <n v="81"/>
    <n v="37"/>
    <n v="85"/>
    <n v="64"/>
    <n v="57.199999999999996"/>
    <s v="Fail"/>
    <s v="C"/>
    <n v="2"/>
    <x v="1"/>
    <x v="1"/>
  </r>
  <r>
    <s v="ST245"/>
    <x v="0"/>
    <n v="24"/>
    <s v="CIVIL"/>
    <n v="8"/>
    <n v="55"/>
    <n v="4.7"/>
    <n v="57"/>
    <n v="19"/>
    <n v="12"/>
    <n v="89"/>
    <n v="23"/>
    <n v="60"/>
    <n v="63"/>
    <n v="49.4"/>
    <s v="Fail"/>
    <s v="D"/>
    <n v="2"/>
    <x v="1"/>
    <x v="1"/>
  </r>
  <r>
    <s v="ST246"/>
    <x v="0"/>
    <n v="22"/>
    <s v="CSE"/>
    <n v="8"/>
    <n v="55"/>
    <n v="3.8"/>
    <n v="70"/>
    <n v="27"/>
    <n v="49"/>
    <n v="89"/>
    <n v="49"/>
    <n v="75"/>
    <n v="77"/>
    <n v="67.800000000000011"/>
    <s v="Pass"/>
    <s v="B"/>
    <n v="0"/>
    <x v="0"/>
    <x v="0"/>
  </r>
  <r>
    <s v="ST247"/>
    <x v="1"/>
    <n v="22"/>
    <s v="CSE"/>
    <n v="8"/>
    <n v="81"/>
    <n v="4.0999999999999996"/>
    <n v="84"/>
    <n v="29"/>
    <n v="22"/>
    <n v="95"/>
    <n v="51"/>
    <n v="65"/>
    <n v="73"/>
    <n v="61.199999999999996"/>
    <s v="Fail"/>
    <s v="B"/>
    <n v="1"/>
    <x v="0"/>
    <x v="1"/>
  </r>
  <r>
    <s v="ST248"/>
    <x v="0"/>
    <n v="24"/>
    <s v="ECE"/>
    <n v="7"/>
    <n v="80"/>
    <n v="4"/>
    <n v="100"/>
    <n v="18"/>
    <n v="71"/>
    <n v="58"/>
    <n v="81"/>
    <n v="98"/>
    <n v="97"/>
    <n v="81"/>
    <s v="Pass"/>
    <s v="A"/>
    <n v="0"/>
    <x v="2"/>
    <x v="0"/>
  </r>
  <r>
    <s v="ST249"/>
    <x v="0"/>
    <n v="22"/>
    <s v="ECE"/>
    <n v="7"/>
    <n v="58"/>
    <n v="2.5"/>
    <n v="64"/>
    <n v="26"/>
    <n v="17"/>
    <n v="71"/>
    <n v="93"/>
    <n v="65"/>
    <n v="44"/>
    <n v="57.999999999999993"/>
    <s v="Fail"/>
    <s v="C"/>
    <n v="1"/>
    <x v="1"/>
    <x v="1"/>
  </r>
  <r>
    <s v="ST250"/>
    <x v="0"/>
    <n v="22"/>
    <s v="ECE"/>
    <n v="7"/>
    <n v="79"/>
    <n v="1.8"/>
    <n v="91"/>
    <n v="22"/>
    <n v="47"/>
    <n v="28"/>
    <n v="84"/>
    <n v="72"/>
    <n v="100"/>
    <n v="66.2"/>
    <s v="Fail"/>
    <s v="B"/>
    <n v="1"/>
    <x v="0"/>
    <x v="1"/>
  </r>
  <r>
    <s v="ST251"/>
    <x v="0"/>
    <n v="22"/>
    <s v="ECE"/>
    <n v="8"/>
    <n v="53"/>
    <n v="1.3"/>
    <n v="64"/>
    <n v="33"/>
    <n v="82"/>
    <n v="28"/>
    <n v="47"/>
    <n v="89"/>
    <n v="37"/>
    <n v="56.599999999999994"/>
    <s v="Fail"/>
    <s v="C"/>
    <n v="2"/>
    <x v="1"/>
    <x v="1"/>
  </r>
  <r>
    <s v="ST252"/>
    <x v="0"/>
    <n v="24"/>
    <s v="ME"/>
    <n v="8"/>
    <n v="90"/>
    <n v="5.2"/>
    <n v="81"/>
    <n v="23"/>
    <n v="83"/>
    <n v="34"/>
    <n v="66"/>
    <n v="87"/>
    <n v="71"/>
    <n v="68.2"/>
    <s v="Fail"/>
    <s v="B"/>
    <n v="1"/>
    <x v="0"/>
    <x v="1"/>
  </r>
  <r>
    <s v="ST253"/>
    <x v="1"/>
    <n v="24"/>
    <s v="CSE"/>
    <n v="7"/>
    <n v="40"/>
    <n v="1.5"/>
    <n v="56"/>
    <n v="26"/>
    <n v="62"/>
    <n v="25"/>
    <n v="91"/>
    <n v="94"/>
    <n v="48"/>
    <n v="64"/>
    <s v="Fail"/>
    <s v="B"/>
    <n v="1"/>
    <x v="0"/>
    <x v="1"/>
  </r>
  <r>
    <s v="ST254"/>
    <x v="0"/>
    <n v="21"/>
    <s v="ECE"/>
    <n v="7"/>
    <n v="95"/>
    <n v="1.7"/>
    <n v="94"/>
    <n v="39"/>
    <n v="76"/>
    <n v="27"/>
    <n v="60"/>
    <n v="91"/>
    <n v="96"/>
    <n v="70"/>
    <s v="Fail"/>
    <s v="B"/>
    <n v="1"/>
    <x v="0"/>
    <x v="1"/>
  </r>
  <r>
    <s v="ST255"/>
    <x v="1"/>
    <n v="22"/>
    <s v="ECE"/>
    <n v="7"/>
    <n v="87"/>
    <n v="1.3"/>
    <n v="96"/>
    <n v="45"/>
    <n v="20"/>
    <n v="21"/>
    <n v="92"/>
    <n v="83"/>
    <n v="48"/>
    <n v="52.800000000000004"/>
    <s v="Fail"/>
    <s v="C"/>
    <n v="2"/>
    <x v="1"/>
    <x v="1"/>
  </r>
  <r>
    <s v="ST256"/>
    <x v="0"/>
    <n v="22"/>
    <s v="CIVIL"/>
    <n v="7"/>
    <n v="94"/>
    <n v="1.1000000000000001"/>
    <n v="83"/>
    <n v="24"/>
    <n v="68"/>
    <n v="62"/>
    <n v="67"/>
    <n v="62"/>
    <n v="66"/>
    <n v="65"/>
    <s v="Pass"/>
    <s v="B"/>
    <n v="0"/>
    <x v="0"/>
    <x v="0"/>
  </r>
  <r>
    <s v="ST257"/>
    <x v="1"/>
    <n v="23"/>
    <s v="ME"/>
    <n v="7"/>
    <n v="25"/>
    <n v="5.0999999999999996"/>
    <n v="50"/>
    <n v="44"/>
    <n v="81"/>
    <n v="81"/>
    <n v="55"/>
    <n v="78"/>
    <n v="35"/>
    <n v="66"/>
    <s v="Fail"/>
    <s v="B"/>
    <n v="1"/>
    <x v="0"/>
    <x v="1"/>
  </r>
  <r>
    <s v="ST258"/>
    <x v="1"/>
    <n v="23"/>
    <s v="CIVIL"/>
    <n v="8"/>
    <n v="81"/>
    <n v="5.3"/>
    <n v="89"/>
    <n v="47"/>
    <n v="63"/>
    <n v="95"/>
    <n v="94"/>
    <n v="79"/>
    <n v="89"/>
    <n v="84"/>
    <s v="Pass"/>
    <s v="A"/>
    <n v="0"/>
    <x v="2"/>
    <x v="0"/>
  </r>
  <r>
    <s v="ST259"/>
    <x v="1"/>
    <n v="24"/>
    <s v="ECE"/>
    <n v="8"/>
    <n v="92"/>
    <n v="4.3"/>
    <n v="91"/>
    <n v="34"/>
    <n v="19"/>
    <n v="82"/>
    <n v="57"/>
    <n v="71"/>
    <n v="93"/>
    <n v="64.400000000000006"/>
    <s v="Fail"/>
    <s v="B"/>
    <n v="1"/>
    <x v="0"/>
    <x v="1"/>
  </r>
  <r>
    <s v="ST260"/>
    <x v="1"/>
    <n v="22"/>
    <s v="ECE"/>
    <n v="7"/>
    <n v="92"/>
    <n v="3.7"/>
    <n v="99"/>
    <n v="20"/>
    <n v="20"/>
    <n v="59"/>
    <n v="62"/>
    <n v="94"/>
    <n v="57"/>
    <n v="58.4"/>
    <s v="Fail"/>
    <s v="C"/>
    <n v="1"/>
    <x v="1"/>
    <x v="1"/>
  </r>
  <r>
    <s v="ST261"/>
    <x v="0"/>
    <n v="22"/>
    <s v="CIVIL"/>
    <n v="7"/>
    <n v="77"/>
    <n v="4.9000000000000004"/>
    <n v="75"/>
    <n v="33"/>
    <n v="30"/>
    <n v="15"/>
    <n v="40"/>
    <n v="68"/>
    <n v="74"/>
    <n v="45.4"/>
    <s v="Fail"/>
    <s v="D"/>
    <n v="2"/>
    <x v="1"/>
    <x v="1"/>
  </r>
  <r>
    <s v="ST262"/>
    <x v="0"/>
    <n v="23"/>
    <s v="CIVIL"/>
    <n v="8"/>
    <n v="93"/>
    <n v="5.2"/>
    <n v="78"/>
    <n v="21"/>
    <n v="33"/>
    <n v="57"/>
    <n v="43"/>
    <n v="84"/>
    <n v="63"/>
    <n v="56.000000000000007"/>
    <s v="Fail"/>
    <s v="C"/>
    <n v="1"/>
    <x v="1"/>
    <x v="1"/>
  </r>
  <r>
    <s v="ST263"/>
    <x v="0"/>
    <n v="23"/>
    <s v="ME"/>
    <n v="7"/>
    <n v="57"/>
    <n v="2.2000000000000002"/>
    <n v="57"/>
    <n v="44"/>
    <n v="20"/>
    <n v="48"/>
    <n v="42"/>
    <n v="50"/>
    <n v="89"/>
    <n v="49.8"/>
    <s v="Fail"/>
    <s v="D"/>
    <n v="1"/>
    <x v="1"/>
    <x v="1"/>
  </r>
  <r>
    <s v="ST264"/>
    <x v="0"/>
    <n v="24"/>
    <s v="CSE"/>
    <n v="7"/>
    <n v="49"/>
    <n v="2.5"/>
    <n v="67"/>
    <n v="45"/>
    <n v="24"/>
    <n v="79"/>
    <n v="25"/>
    <n v="52"/>
    <n v="51"/>
    <n v="46.2"/>
    <s v="Fail"/>
    <s v="D"/>
    <n v="2"/>
    <x v="1"/>
    <x v="1"/>
  </r>
  <r>
    <s v="ST265"/>
    <x v="1"/>
    <n v="22"/>
    <s v="CSE"/>
    <n v="8"/>
    <n v="83"/>
    <n v="4.5999999999999996"/>
    <n v="87"/>
    <n v="21"/>
    <n v="45"/>
    <n v="29"/>
    <n v="29"/>
    <n v="82"/>
    <n v="33"/>
    <n v="43.6"/>
    <s v="Fail"/>
    <s v="D"/>
    <n v="3"/>
    <x v="1"/>
    <x v="1"/>
  </r>
  <r>
    <s v="ST266"/>
    <x v="0"/>
    <n v="24"/>
    <s v="CIVIL"/>
    <n v="7"/>
    <n v="94"/>
    <n v="1.4"/>
    <n v="94"/>
    <n v="29"/>
    <n v="79"/>
    <n v="33"/>
    <n v="47"/>
    <n v="64"/>
    <n v="58"/>
    <n v="56.2"/>
    <s v="Fail"/>
    <s v="C"/>
    <n v="1"/>
    <x v="1"/>
    <x v="1"/>
  </r>
  <r>
    <s v="ST267"/>
    <x v="1"/>
    <n v="22"/>
    <s v="CIVIL"/>
    <n v="8"/>
    <n v="47"/>
    <n v="3.7"/>
    <n v="61"/>
    <n v="40"/>
    <n v="40"/>
    <n v="28"/>
    <n v="59"/>
    <n v="60"/>
    <n v="50"/>
    <n v="47.4"/>
    <s v="Fail"/>
    <s v="D"/>
    <n v="1"/>
    <x v="1"/>
    <x v="1"/>
  </r>
  <r>
    <s v="ST268"/>
    <x v="0"/>
    <n v="24"/>
    <s v="ME"/>
    <n v="7"/>
    <n v="71"/>
    <n v="4.4000000000000004"/>
    <n v="56"/>
    <n v="50"/>
    <n v="82"/>
    <n v="60"/>
    <n v="92"/>
    <n v="51"/>
    <n v="66"/>
    <n v="70.199999999999989"/>
    <s v="Pass"/>
    <s v="B"/>
    <n v="0"/>
    <x v="0"/>
    <x v="0"/>
  </r>
  <r>
    <s v="ST269"/>
    <x v="0"/>
    <n v="23"/>
    <s v="CSE"/>
    <n v="8"/>
    <n v="74"/>
    <n v="1.8"/>
    <n v="65"/>
    <n v="41"/>
    <n v="79"/>
    <n v="91"/>
    <n v="28"/>
    <n v="62"/>
    <n v="76"/>
    <n v="67.2"/>
    <s v="Fail"/>
    <s v="B"/>
    <n v="1"/>
    <x v="0"/>
    <x v="1"/>
  </r>
  <r>
    <s v="ST270"/>
    <x v="0"/>
    <n v="23"/>
    <s v="CIVIL"/>
    <n v="7"/>
    <n v="51"/>
    <n v="2.6"/>
    <n v="62"/>
    <n v="26"/>
    <n v="38"/>
    <n v="22"/>
    <n v="36"/>
    <n v="71"/>
    <n v="39"/>
    <n v="41.199999999999996"/>
    <s v="Fail"/>
    <s v="D"/>
    <n v="4"/>
    <x v="1"/>
    <x v="1"/>
  </r>
  <r>
    <s v="ST271"/>
    <x v="1"/>
    <n v="24"/>
    <s v="ECE"/>
    <n v="8"/>
    <n v="82"/>
    <n v="1.9"/>
    <n v="93"/>
    <n v="23"/>
    <n v="17"/>
    <n v="32"/>
    <n v="65"/>
    <n v="89"/>
    <n v="33"/>
    <n v="47.199999999999996"/>
    <s v="Fail"/>
    <s v="D"/>
    <n v="3"/>
    <x v="1"/>
    <x v="1"/>
  </r>
  <r>
    <s v="ST272"/>
    <x v="1"/>
    <n v="23"/>
    <s v="ME"/>
    <n v="8"/>
    <n v="80"/>
    <n v="5.8"/>
    <n v="76"/>
    <n v="31"/>
    <n v="33"/>
    <n v="56"/>
    <n v="87"/>
    <n v="72"/>
    <n v="75"/>
    <n v="64.600000000000009"/>
    <s v="Fail"/>
    <s v="B"/>
    <n v="1"/>
    <x v="0"/>
    <x v="1"/>
  </r>
  <r>
    <s v="ST273"/>
    <x v="1"/>
    <n v="24"/>
    <s v="ECE"/>
    <n v="7"/>
    <n v="75"/>
    <n v="5.2"/>
    <n v="85"/>
    <n v="49"/>
    <n v="21"/>
    <n v="29"/>
    <n v="54"/>
    <n v="50"/>
    <n v="80"/>
    <n v="46.800000000000004"/>
    <s v="Fail"/>
    <s v="D"/>
    <n v="2"/>
    <x v="1"/>
    <x v="1"/>
  </r>
  <r>
    <s v="ST274"/>
    <x v="0"/>
    <n v="21"/>
    <s v="CIVIL"/>
    <n v="7"/>
    <n v="82"/>
    <n v="3.9"/>
    <n v="91"/>
    <n v="36"/>
    <n v="59"/>
    <n v="92"/>
    <n v="83"/>
    <n v="75"/>
    <n v="92"/>
    <n v="80.2"/>
    <s v="Pass"/>
    <s v="A"/>
    <n v="0"/>
    <x v="2"/>
    <x v="0"/>
  </r>
  <r>
    <s v="ST275"/>
    <x v="1"/>
    <n v="23"/>
    <s v="CSE"/>
    <n v="8"/>
    <n v="77"/>
    <n v="4"/>
    <n v="89"/>
    <n v="24"/>
    <n v="71"/>
    <n v="76"/>
    <n v="97"/>
    <n v="54"/>
    <n v="44"/>
    <n v="68.400000000000006"/>
    <s v="Pass"/>
    <s v="B"/>
    <n v="0"/>
    <x v="0"/>
    <x v="0"/>
  </r>
  <r>
    <s v="ST276"/>
    <x v="0"/>
    <n v="24"/>
    <s v="ME"/>
    <n v="8"/>
    <n v="46"/>
    <n v="3.9"/>
    <n v="64"/>
    <n v="45"/>
    <n v="88"/>
    <n v="92"/>
    <n v="53"/>
    <n v="53"/>
    <n v="55"/>
    <n v="68.2"/>
    <s v="Pass"/>
    <s v="B"/>
    <n v="0"/>
    <x v="0"/>
    <x v="0"/>
  </r>
  <r>
    <s v="ST277"/>
    <x v="1"/>
    <n v="23"/>
    <s v="ME"/>
    <n v="8"/>
    <n v="85"/>
    <n v="2.4"/>
    <n v="100"/>
    <n v="46"/>
    <n v="36"/>
    <n v="71"/>
    <n v="48"/>
    <n v="50"/>
    <n v="92"/>
    <n v="59.4"/>
    <s v="Fail"/>
    <s v="C"/>
    <n v="1"/>
    <x v="1"/>
    <x v="1"/>
  </r>
  <r>
    <s v="ST278"/>
    <x v="1"/>
    <n v="24"/>
    <s v="CIVIL"/>
    <n v="7"/>
    <n v="70"/>
    <n v="2"/>
    <n v="57"/>
    <n v="37"/>
    <n v="26"/>
    <n v="94"/>
    <n v="29"/>
    <n v="92"/>
    <n v="64"/>
    <n v="61"/>
    <s v="Fail"/>
    <s v="B"/>
    <n v="2"/>
    <x v="0"/>
    <x v="1"/>
  </r>
  <r>
    <s v="ST279"/>
    <x v="0"/>
    <n v="23"/>
    <s v="ECE"/>
    <n v="8"/>
    <n v="90"/>
    <n v="5"/>
    <n v="75"/>
    <n v="43"/>
    <n v="38"/>
    <n v="14"/>
    <n v="26"/>
    <n v="95"/>
    <n v="98"/>
    <n v="54.2"/>
    <s v="Fail"/>
    <s v="C"/>
    <n v="3"/>
    <x v="1"/>
    <x v="1"/>
  </r>
  <r>
    <s v="ST280"/>
    <x v="0"/>
    <n v="22"/>
    <s v="ECE"/>
    <n v="7"/>
    <n v="86"/>
    <n v="4.3"/>
    <n v="100"/>
    <n v="28"/>
    <n v="30"/>
    <n v="68"/>
    <n v="84"/>
    <n v="54"/>
    <n v="43"/>
    <n v="55.800000000000004"/>
    <s v="Fail"/>
    <s v="C"/>
    <n v="1"/>
    <x v="1"/>
    <x v="1"/>
  </r>
  <r>
    <s v="ST281"/>
    <x v="0"/>
    <n v="22"/>
    <s v="CSE"/>
    <n v="8"/>
    <n v="48"/>
    <n v="1.1000000000000001"/>
    <n v="64"/>
    <n v="47"/>
    <n v="66"/>
    <n v="63"/>
    <n v="79"/>
    <n v="60"/>
    <n v="53"/>
    <n v="64.2"/>
    <s v="Pass"/>
    <s v="B"/>
    <n v="0"/>
    <x v="0"/>
    <x v="0"/>
  </r>
  <r>
    <s v="ST282"/>
    <x v="1"/>
    <n v="24"/>
    <s v="ME"/>
    <n v="8"/>
    <n v="93"/>
    <n v="4.4000000000000004"/>
    <n v="85"/>
    <n v="28"/>
    <n v="62"/>
    <n v="45"/>
    <n v="90"/>
    <n v="50"/>
    <n v="91"/>
    <n v="67.600000000000009"/>
    <s v="Pass"/>
    <s v="B"/>
    <n v="0"/>
    <x v="0"/>
    <x v="0"/>
  </r>
  <r>
    <s v="ST283"/>
    <x v="0"/>
    <n v="22"/>
    <s v="CIVIL"/>
    <n v="7"/>
    <n v="60"/>
    <n v="3.8"/>
    <n v="55"/>
    <n v="30"/>
    <n v="70"/>
    <n v="29"/>
    <n v="73"/>
    <n v="75"/>
    <n v="72"/>
    <n v="63.800000000000004"/>
    <s v="Fail"/>
    <s v="B"/>
    <n v="1"/>
    <x v="0"/>
    <x v="1"/>
  </r>
  <r>
    <s v="ST284"/>
    <x v="1"/>
    <n v="24"/>
    <s v="CSE"/>
    <n v="7"/>
    <n v="94"/>
    <n v="2.2999999999999998"/>
    <n v="79"/>
    <n v="24"/>
    <n v="14"/>
    <n v="45"/>
    <n v="79"/>
    <n v="56"/>
    <n v="35"/>
    <n v="45.800000000000004"/>
    <s v="Fail"/>
    <s v="D"/>
    <n v="2"/>
    <x v="1"/>
    <x v="1"/>
  </r>
  <r>
    <s v="ST285"/>
    <x v="1"/>
    <n v="21"/>
    <s v="ME"/>
    <n v="8"/>
    <n v="54"/>
    <n v="4.5999999999999996"/>
    <n v="66"/>
    <n v="18"/>
    <n v="63"/>
    <n v="53"/>
    <n v="31"/>
    <n v="71"/>
    <n v="75"/>
    <n v="58.599999999999994"/>
    <s v="Fail"/>
    <s v="C"/>
    <n v="1"/>
    <x v="1"/>
    <x v="1"/>
  </r>
  <r>
    <s v="ST286"/>
    <x v="0"/>
    <n v="24"/>
    <s v="ME"/>
    <n v="7"/>
    <n v="86"/>
    <n v="1"/>
    <n v="85"/>
    <n v="22"/>
    <n v="81"/>
    <n v="85"/>
    <n v="95"/>
    <n v="78"/>
    <n v="57"/>
    <n v="79.2"/>
    <s v="Pass"/>
    <s v="B"/>
    <n v="0"/>
    <x v="0"/>
    <x v="0"/>
  </r>
  <r>
    <s v="ST287"/>
    <x v="1"/>
    <n v="23"/>
    <s v="CIVIL"/>
    <n v="8"/>
    <n v="86"/>
    <n v="1.6"/>
    <n v="71"/>
    <n v="29"/>
    <n v="15"/>
    <n v="75"/>
    <n v="97"/>
    <n v="54"/>
    <n v="61"/>
    <n v="60.4"/>
    <s v="Fail"/>
    <s v="B"/>
    <n v="1"/>
    <x v="0"/>
    <x v="1"/>
  </r>
  <r>
    <s v="ST288"/>
    <x v="0"/>
    <n v="23"/>
    <s v="ME"/>
    <n v="8"/>
    <n v="85"/>
    <n v="5"/>
    <n v="87"/>
    <n v="36"/>
    <n v="95"/>
    <n v="85"/>
    <n v="61"/>
    <n v="56"/>
    <n v="99"/>
    <n v="79.2"/>
    <s v="Pass"/>
    <s v="B"/>
    <n v="0"/>
    <x v="0"/>
    <x v="0"/>
  </r>
  <r>
    <s v="ST289"/>
    <x v="0"/>
    <n v="23"/>
    <s v="CIVIL"/>
    <n v="8"/>
    <n v="41"/>
    <n v="4"/>
    <n v="58"/>
    <n v="33"/>
    <n v="59"/>
    <n v="33"/>
    <n v="42"/>
    <n v="63"/>
    <n v="75"/>
    <n v="54.400000000000006"/>
    <s v="Fail"/>
    <s v="C"/>
    <n v="1"/>
    <x v="1"/>
    <x v="1"/>
  </r>
  <r>
    <s v="ST290"/>
    <x v="0"/>
    <n v="23"/>
    <s v="CSE"/>
    <n v="7"/>
    <n v="94"/>
    <n v="5.6"/>
    <n v="78"/>
    <n v="21"/>
    <n v="53"/>
    <n v="34"/>
    <n v="32"/>
    <n v="86"/>
    <n v="89"/>
    <n v="58.8"/>
    <s v="Fail"/>
    <s v="C"/>
    <n v="2"/>
    <x v="1"/>
    <x v="1"/>
  </r>
  <r>
    <s v="ST291"/>
    <x v="1"/>
    <n v="22"/>
    <s v="ECE"/>
    <n v="7"/>
    <n v="83"/>
    <n v="5.4"/>
    <n v="77"/>
    <n v="34"/>
    <n v="15"/>
    <n v="30"/>
    <n v="50"/>
    <n v="69"/>
    <n v="94"/>
    <n v="51.6"/>
    <s v="Fail"/>
    <s v="C"/>
    <n v="2"/>
    <x v="1"/>
    <x v="1"/>
  </r>
  <r>
    <s v="ST292"/>
    <x v="0"/>
    <n v="22"/>
    <s v="ECE"/>
    <n v="8"/>
    <n v="40"/>
    <n v="5.6"/>
    <n v="50"/>
    <n v="44"/>
    <n v="79"/>
    <n v="82"/>
    <n v="70"/>
    <n v="62"/>
    <n v="94"/>
    <n v="77.400000000000006"/>
    <s v="Pass"/>
    <s v="B"/>
    <n v="0"/>
    <x v="0"/>
    <x v="0"/>
  </r>
  <r>
    <s v="ST293"/>
    <x v="0"/>
    <n v="24"/>
    <s v="CSE"/>
    <n v="7"/>
    <n v="70"/>
    <n v="2.6"/>
    <n v="68"/>
    <n v="50"/>
    <n v="11"/>
    <n v="70"/>
    <n v="69"/>
    <n v="98"/>
    <n v="78"/>
    <n v="65.2"/>
    <s v="Fail"/>
    <s v="B"/>
    <n v="1"/>
    <x v="0"/>
    <x v="1"/>
  </r>
  <r>
    <s v="ST294"/>
    <x v="0"/>
    <n v="23"/>
    <s v="ME"/>
    <n v="7"/>
    <n v="58"/>
    <n v="4.3"/>
    <n v="53"/>
    <n v="29"/>
    <n v="46"/>
    <n v="33"/>
    <n v="39"/>
    <n v="76"/>
    <n v="46"/>
    <n v="48"/>
    <s v="Fail"/>
    <s v="D"/>
    <n v="2"/>
    <x v="1"/>
    <x v="1"/>
  </r>
  <r>
    <s v="ST295"/>
    <x v="0"/>
    <n v="24"/>
    <s v="ME"/>
    <n v="8"/>
    <n v="60"/>
    <n v="3.7"/>
    <n v="67"/>
    <n v="41"/>
    <n v="90"/>
    <n v="36"/>
    <n v="97"/>
    <n v="56"/>
    <n v="78"/>
    <n v="71.399999999999991"/>
    <s v="Fail"/>
    <s v="B"/>
    <n v="1"/>
    <x v="0"/>
    <x v="1"/>
  </r>
  <r>
    <s v="ST296"/>
    <x v="0"/>
    <n v="21"/>
    <s v="ME"/>
    <n v="8"/>
    <n v="47"/>
    <n v="1.2"/>
    <n v="67"/>
    <n v="33"/>
    <n v="22"/>
    <n v="35"/>
    <n v="87"/>
    <n v="96"/>
    <n v="98"/>
    <n v="67.600000000000009"/>
    <s v="Fail"/>
    <s v="B"/>
    <n v="2"/>
    <x v="0"/>
    <x v="1"/>
  </r>
  <r>
    <s v="ST297"/>
    <x v="1"/>
    <n v="24"/>
    <s v="CIVIL"/>
    <n v="8"/>
    <n v="95"/>
    <n v="5"/>
    <n v="98"/>
    <n v="45"/>
    <n v="70"/>
    <n v="74"/>
    <n v="71"/>
    <n v="54"/>
    <n v="71"/>
    <n v="68"/>
    <s v="Pass"/>
    <s v="B"/>
    <n v="0"/>
    <x v="0"/>
    <x v="0"/>
  </r>
  <r>
    <s v="ST298"/>
    <x v="1"/>
    <n v="23"/>
    <s v="CIVIL"/>
    <n v="8"/>
    <n v="75"/>
    <n v="4.5999999999999996"/>
    <n v="59"/>
    <n v="29"/>
    <n v="45"/>
    <n v="60"/>
    <n v="84"/>
    <n v="87"/>
    <n v="47"/>
    <n v="64.600000000000009"/>
    <s v="Pass"/>
    <s v="B"/>
    <n v="0"/>
    <x v="0"/>
    <x v="0"/>
  </r>
  <r>
    <s v="ST299"/>
    <x v="0"/>
    <n v="23"/>
    <s v="ECE"/>
    <n v="8"/>
    <n v="79"/>
    <n v="4.8"/>
    <n v="90"/>
    <n v="39"/>
    <n v="29"/>
    <n v="73"/>
    <n v="25"/>
    <n v="58"/>
    <n v="74"/>
    <n v="51.800000000000004"/>
    <s v="Fail"/>
    <s v="C"/>
    <n v="2"/>
    <x v="1"/>
    <x v="1"/>
  </r>
  <r>
    <s v="ST300"/>
    <x v="1"/>
    <n v="24"/>
    <s v="ME"/>
    <n v="7"/>
    <n v="90"/>
    <n v="2.2999999999999998"/>
    <n v="86"/>
    <n v="25"/>
    <n v="15"/>
    <n v="53"/>
    <n v="70"/>
    <n v="64"/>
    <n v="69"/>
    <n v="54.2"/>
    <s v="Fail"/>
    <s v="C"/>
    <n v="1"/>
    <x v="1"/>
    <x v="1"/>
  </r>
  <r>
    <m/>
    <x v="2"/>
    <m/>
    <m/>
    <m/>
    <m/>
    <m/>
    <m/>
    <m/>
    <m/>
    <m/>
    <m/>
    <m/>
    <m/>
    <m/>
    <m/>
    <m/>
    <m/>
    <x v="4"/>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x v="0"/>
    <x v="0"/>
    <n v="2.2999999999999998"/>
    <n v="74"/>
    <n v="21"/>
    <n v="77"/>
    <n v="67"/>
    <n v="42"/>
    <n v="73"/>
    <n v="92"/>
    <n v="70.199999999999989"/>
    <x v="0"/>
    <s v="A"/>
    <x v="0"/>
    <s v="GOOD"/>
    <x v="0"/>
  </r>
  <r>
    <x v="1"/>
    <x v="1"/>
    <x v="1"/>
    <x v="1"/>
    <x v="0"/>
    <x v="1"/>
    <n v="1.7"/>
    <n v="62"/>
    <n v="20"/>
    <n v="15"/>
    <n v="38"/>
    <n v="63"/>
    <n v="100"/>
    <n v="78"/>
    <n v="58.8"/>
    <x v="1"/>
    <s v="C"/>
    <x v="1"/>
    <s v="AVERAGE"/>
    <x v="1"/>
  </r>
  <r>
    <x v="2"/>
    <x v="0"/>
    <x v="2"/>
    <x v="2"/>
    <x v="0"/>
    <x v="2"/>
    <n v="6"/>
    <n v="82"/>
    <n v="29"/>
    <n v="51"/>
    <n v="42"/>
    <n v="74"/>
    <n v="83"/>
    <n v="52"/>
    <n v="60.4"/>
    <x v="0"/>
    <s v="B"/>
    <x v="0"/>
    <s v="GOOD"/>
    <x v="0"/>
  </r>
  <r>
    <x v="3"/>
    <x v="1"/>
    <x v="2"/>
    <x v="2"/>
    <x v="0"/>
    <x v="3"/>
    <n v="1.1000000000000001"/>
    <n v="94"/>
    <n v="29"/>
    <n v="20"/>
    <n v="42"/>
    <n v="68"/>
    <n v="72"/>
    <n v="68"/>
    <n v="54"/>
    <x v="1"/>
    <s v="C"/>
    <x v="2"/>
    <s v="AVERAGE"/>
    <x v="1"/>
  </r>
  <r>
    <x v="4"/>
    <x v="0"/>
    <x v="2"/>
    <x v="1"/>
    <x v="0"/>
    <x v="4"/>
    <n v="4.3"/>
    <n v="69"/>
    <n v="20"/>
    <n v="89"/>
    <n v="87"/>
    <n v="91"/>
    <n v="78"/>
    <n v="52"/>
    <n v="79.400000000000006"/>
    <x v="0"/>
    <s v="B"/>
    <x v="0"/>
    <s v="GOOD"/>
    <x v="0"/>
  </r>
  <r>
    <x v="5"/>
    <x v="0"/>
    <x v="3"/>
    <x v="2"/>
    <x v="0"/>
    <x v="5"/>
    <n v="5.4"/>
    <n v="75"/>
    <n v="29"/>
    <n v="64"/>
    <n v="15"/>
    <n v="58"/>
    <n v="96"/>
    <n v="77"/>
    <n v="62"/>
    <x v="1"/>
    <s v="B"/>
    <x v="2"/>
    <s v="GOOD"/>
    <x v="1"/>
  </r>
  <r>
    <x v="6"/>
    <x v="0"/>
    <x v="1"/>
    <x v="1"/>
    <x v="0"/>
    <x v="6"/>
    <n v="1.4"/>
    <n v="94"/>
    <n v="33"/>
    <n v="41"/>
    <n v="26"/>
    <n v="38"/>
    <n v="82"/>
    <n v="63"/>
    <n v="50"/>
    <x v="1"/>
    <s v="D"/>
    <x v="1"/>
    <s v="AVERAGE"/>
    <x v="1"/>
  </r>
  <r>
    <x v="7"/>
    <x v="0"/>
    <x v="0"/>
    <x v="2"/>
    <x v="1"/>
    <x v="7"/>
    <n v="1.4"/>
    <n v="94"/>
    <n v="49"/>
    <n v="66"/>
    <n v="44"/>
    <n v="55"/>
    <n v="70"/>
    <n v="59"/>
    <n v="58.8"/>
    <x v="0"/>
    <s v="C"/>
    <x v="0"/>
    <s v="AVERAGE"/>
    <x v="0"/>
  </r>
  <r>
    <x v="8"/>
    <x v="0"/>
    <x v="1"/>
    <x v="3"/>
    <x v="1"/>
    <x v="8"/>
    <n v="1.6"/>
    <n v="76"/>
    <n v="43"/>
    <n v="90"/>
    <n v="14"/>
    <n v="37"/>
    <n v="90"/>
    <n v="45"/>
    <n v="55.2"/>
    <x v="1"/>
    <s v="C"/>
    <x v="1"/>
    <s v="AVERAGE"/>
    <x v="1"/>
  </r>
  <r>
    <x v="9"/>
    <x v="0"/>
    <x v="2"/>
    <x v="3"/>
    <x v="0"/>
    <x v="9"/>
    <n v="3.9"/>
    <n v="69"/>
    <n v="22"/>
    <n v="77"/>
    <n v="81"/>
    <n v="64"/>
    <n v="71"/>
    <n v="80"/>
    <n v="74.599999999999994"/>
    <x v="0"/>
    <s v="B"/>
    <x v="0"/>
    <s v="GOOD"/>
    <x v="0"/>
  </r>
  <r>
    <x v="10"/>
    <x v="0"/>
    <x v="3"/>
    <x v="0"/>
    <x v="1"/>
    <x v="10"/>
    <n v="4.4000000000000004"/>
    <n v="53"/>
    <n v="24"/>
    <n v="49"/>
    <n v="72"/>
    <n v="46"/>
    <n v="100"/>
    <n v="93"/>
    <n v="72"/>
    <x v="0"/>
    <s v="B"/>
    <x v="0"/>
    <s v="GOOD"/>
    <x v="0"/>
  </r>
  <r>
    <x v="11"/>
    <x v="1"/>
    <x v="1"/>
    <x v="1"/>
    <x v="1"/>
    <x v="11"/>
    <n v="1.3"/>
    <n v="62"/>
    <n v="40"/>
    <n v="75"/>
    <n v="76"/>
    <n v="40"/>
    <n v="74"/>
    <n v="84"/>
    <n v="69.8"/>
    <x v="0"/>
    <s v="B"/>
    <x v="0"/>
    <s v="GOOD"/>
    <x v="0"/>
  </r>
  <r>
    <x v="12"/>
    <x v="0"/>
    <x v="2"/>
    <x v="3"/>
    <x v="1"/>
    <x v="5"/>
    <n v="2.1"/>
    <n v="94"/>
    <n v="36"/>
    <n v="76"/>
    <n v="29"/>
    <n v="96"/>
    <n v="80"/>
    <n v="43"/>
    <n v="64.8"/>
    <x v="1"/>
    <s v="B"/>
    <x v="2"/>
    <s v="GOOD"/>
    <x v="1"/>
  </r>
  <r>
    <x v="13"/>
    <x v="0"/>
    <x v="0"/>
    <x v="0"/>
    <x v="1"/>
    <x v="12"/>
    <n v="5.2"/>
    <n v="77"/>
    <n v="26"/>
    <n v="19"/>
    <n v="17"/>
    <n v="47"/>
    <n v="89"/>
    <n v="96"/>
    <n v="53.6"/>
    <x v="1"/>
    <s v="C"/>
    <x v="1"/>
    <s v="AVERAGE"/>
    <x v="1"/>
  </r>
  <r>
    <x v="14"/>
    <x v="0"/>
    <x v="2"/>
    <x v="0"/>
    <x v="1"/>
    <x v="13"/>
    <n v="5"/>
    <n v="64"/>
    <n v="24"/>
    <n v="44"/>
    <n v="81"/>
    <n v="43"/>
    <n v="86"/>
    <n v="91"/>
    <n v="69"/>
    <x v="0"/>
    <s v="B"/>
    <x v="0"/>
    <s v="GOOD"/>
    <x v="0"/>
  </r>
  <r>
    <x v="15"/>
    <x v="0"/>
    <x v="3"/>
    <x v="2"/>
    <x v="1"/>
    <x v="14"/>
    <n v="1.5"/>
    <n v="56"/>
    <n v="23"/>
    <n v="17"/>
    <n v="33"/>
    <n v="75"/>
    <n v="67"/>
    <n v="38"/>
    <n v="46"/>
    <x v="1"/>
    <s v="D"/>
    <x v="3"/>
    <s v="AVERAGE"/>
    <x v="1"/>
  </r>
  <r>
    <x v="16"/>
    <x v="0"/>
    <x v="1"/>
    <x v="2"/>
    <x v="1"/>
    <x v="5"/>
    <n v="5.7"/>
    <n v="74"/>
    <n v="19"/>
    <n v="40"/>
    <n v="91"/>
    <n v="39"/>
    <n v="74"/>
    <n v="94"/>
    <n v="67.600000000000009"/>
    <x v="1"/>
    <s v="B"/>
    <x v="2"/>
    <s v="GOOD"/>
    <x v="1"/>
  </r>
  <r>
    <x v="17"/>
    <x v="1"/>
    <x v="1"/>
    <x v="2"/>
    <x v="0"/>
    <x v="3"/>
    <n v="3.8"/>
    <n v="71"/>
    <n v="32"/>
    <n v="53"/>
    <n v="47"/>
    <n v="44"/>
    <n v="100"/>
    <n v="37"/>
    <n v="56.2"/>
    <x v="1"/>
    <s v="C"/>
    <x v="2"/>
    <s v="AVERAGE"/>
    <x v="1"/>
  </r>
  <r>
    <x v="18"/>
    <x v="0"/>
    <x v="1"/>
    <x v="0"/>
    <x v="1"/>
    <x v="12"/>
    <n v="2.1"/>
    <n v="95"/>
    <n v="18"/>
    <n v="35"/>
    <n v="28"/>
    <n v="49"/>
    <n v="88"/>
    <n v="86"/>
    <n v="57.199999999999996"/>
    <x v="1"/>
    <s v="C"/>
    <x v="1"/>
    <s v="AVERAGE"/>
    <x v="1"/>
  </r>
  <r>
    <x v="19"/>
    <x v="0"/>
    <x v="2"/>
    <x v="0"/>
    <x v="0"/>
    <x v="15"/>
    <n v="2.2000000000000002"/>
    <n v="67"/>
    <n v="38"/>
    <n v="80"/>
    <n v="86"/>
    <n v="26"/>
    <n v="71"/>
    <n v="60"/>
    <n v="64.600000000000009"/>
    <x v="1"/>
    <s v="B"/>
    <x v="2"/>
    <s v="GOOD"/>
    <x v="1"/>
  </r>
  <r>
    <x v="20"/>
    <x v="0"/>
    <x v="1"/>
    <x v="0"/>
    <x v="0"/>
    <x v="16"/>
    <n v="4.3"/>
    <n v="50"/>
    <n v="44"/>
    <n v="72"/>
    <n v="54"/>
    <n v="50"/>
    <n v="68"/>
    <n v="80"/>
    <n v="64.8"/>
    <x v="0"/>
    <s v="B"/>
    <x v="0"/>
    <s v="GOOD"/>
    <x v="0"/>
  </r>
  <r>
    <x v="21"/>
    <x v="1"/>
    <x v="2"/>
    <x v="2"/>
    <x v="0"/>
    <x v="17"/>
    <n v="5.7"/>
    <n v="92"/>
    <n v="33"/>
    <n v="65"/>
    <n v="48"/>
    <n v="30"/>
    <n v="75"/>
    <n v="39"/>
    <n v="51.4"/>
    <x v="1"/>
    <s v="C"/>
    <x v="1"/>
    <s v="AVERAGE"/>
    <x v="1"/>
  </r>
  <r>
    <x v="22"/>
    <x v="0"/>
    <x v="0"/>
    <x v="0"/>
    <x v="0"/>
    <x v="8"/>
    <n v="5.5"/>
    <n v="100"/>
    <n v="22"/>
    <n v="81"/>
    <n v="94"/>
    <n v="66"/>
    <n v="97"/>
    <n v="63"/>
    <n v="80.2"/>
    <x v="0"/>
    <s v="A"/>
    <x v="0"/>
    <s v="EXCELLENT"/>
    <x v="0"/>
  </r>
  <r>
    <x v="23"/>
    <x v="0"/>
    <x v="2"/>
    <x v="2"/>
    <x v="0"/>
    <x v="18"/>
    <n v="4.4000000000000004"/>
    <n v="56"/>
    <n v="33"/>
    <n v="13"/>
    <n v="88"/>
    <n v="73"/>
    <n v="80"/>
    <n v="51"/>
    <n v="61"/>
    <x v="1"/>
    <s v="B"/>
    <x v="2"/>
    <s v="GOOD"/>
    <x v="1"/>
  </r>
  <r>
    <x v="24"/>
    <x v="0"/>
    <x v="1"/>
    <x v="3"/>
    <x v="1"/>
    <x v="4"/>
    <n v="2.9"/>
    <n v="51"/>
    <n v="40"/>
    <n v="49"/>
    <n v="41"/>
    <n v="23"/>
    <n v="93"/>
    <n v="69"/>
    <n v="55.000000000000007"/>
    <x v="1"/>
    <s v="C"/>
    <x v="2"/>
    <s v="AVERAGE"/>
    <x v="1"/>
  </r>
  <r>
    <x v="25"/>
    <x v="1"/>
    <x v="0"/>
    <x v="0"/>
    <x v="1"/>
    <x v="19"/>
    <n v="3.5"/>
    <n v="89"/>
    <n v="47"/>
    <n v="79"/>
    <n v="32"/>
    <n v="56"/>
    <n v="70"/>
    <n v="94"/>
    <n v="66.2"/>
    <x v="1"/>
    <s v="B"/>
    <x v="2"/>
    <s v="GOOD"/>
    <x v="1"/>
  </r>
  <r>
    <x v="26"/>
    <x v="1"/>
    <x v="2"/>
    <x v="2"/>
    <x v="1"/>
    <x v="20"/>
    <n v="1.1000000000000001"/>
    <n v="57"/>
    <n v="25"/>
    <n v="44"/>
    <n v="51"/>
    <n v="94"/>
    <n v="68"/>
    <n v="95"/>
    <n v="70.399999999999991"/>
    <x v="0"/>
    <s v="B"/>
    <x v="0"/>
    <s v="GOOD"/>
    <x v="0"/>
  </r>
  <r>
    <x v="27"/>
    <x v="0"/>
    <x v="0"/>
    <x v="2"/>
    <x v="1"/>
    <x v="21"/>
    <n v="2.7"/>
    <n v="78"/>
    <n v="38"/>
    <n v="40"/>
    <n v="77"/>
    <n v="24"/>
    <n v="71"/>
    <n v="52"/>
    <n v="52.800000000000004"/>
    <x v="1"/>
    <s v="C"/>
    <x v="2"/>
    <s v="AVERAGE"/>
    <x v="1"/>
  </r>
  <r>
    <x v="28"/>
    <x v="1"/>
    <x v="2"/>
    <x v="0"/>
    <x v="0"/>
    <x v="5"/>
    <n v="4.5"/>
    <n v="90"/>
    <n v="32"/>
    <n v="19"/>
    <n v="57"/>
    <n v="24"/>
    <n v="96"/>
    <n v="43"/>
    <n v="47.8"/>
    <x v="1"/>
    <s v="D"/>
    <x v="1"/>
    <s v="AVERAGE"/>
    <x v="1"/>
  </r>
  <r>
    <x v="29"/>
    <x v="1"/>
    <x v="2"/>
    <x v="2"/>
    <x v="1"/>
    <x v="5"/>
    <n v="2.5"/>
    <n v="93"/>
    <n v="44"/>
    <n v="73"/>
    <n v="81"/>
    <n v="80"/>
    <n v="97"/>
    <n v="50"/>
    <n v="76.2"/>
    <x v="0"/>
    <s v="B"/>
    <x v="0"/>
    <s v="GOOD"/>
    <x v="0"/>
  </r>
  <r>
    <x v="30"/>
    <x v="0"/>
    <x v="3"/>
    <x v="3"/>
    <x v="1"/>
    <x v="22"/>
    <n v="3.9"/>
    <n v="70"/>
    <n v="50"/>
    <n v="40"/>
    <n v="71"/>
    <n v="78"/>
    <n v="79"/>
    <n v="50"/>
    <n v="63.6"/>
    <x v="0"/>
    <s v="B"/>
    <x v="0"/>
    <s v="GOOD"/>
    <x v="0"/>
  </r>
  <r>
    <x v="31"/>
    <x v="0"/>
    <x v="0"/>
    <x v="3"/>
    <x v="0"/>
    <x v="23"/>
    <n v="1.9"/>
    <n v="51"/>
    <n v="22"/>
    <n v="25"/>
    <n v="18"/>
    <n v="68"/>
    <n v="87"/>
    <n v="90"/>
    <n v="57.599999999999994"/>
    <x v="1"/>
    <s v="C"/>
    <x v="1"/>
    <s v="AVERAGE"/>
    <x v="1"/>
  </r>
  <r>
    <x v="32"/>
    <x v="0"/>
    <x v="3"/>
    <x v="3"/>
    <x v="0"/>
    <x v="9"/>
    <n v="5.4"/>
    <n v="53"/>
    <n v="27"/>
    <n v="82"/>
    <n v="27"/>
    <n v="86"/>
    <n v="56"/>
    <n v="76"/>
    <n v="65.400000000000006"/>
    <x v="1"/>
    <s v="B"/>
    <x v="2"/>
    <s v="GOOD"/>
    <x v="1"/>
  </r>
  <r>
    <x v="33"/>
    <x v="1"/>
    <x v="1"/>
    <x v="2"/>
    <x v="0"/>
    <x v="12"/>
    <n v="2.4"/>
    <n v="95"/>
    <n v="23"/>
    <n v="88"/>
    <n v="12"/>
    <n v="45"/>
    <n v="83"/>
    <n v="40"/>
    <n v="53.6"/>
    <x v="1"/>
    <s v="C"/>
    <x v="2"/>
    <s v="AVERAGE"/>
    <x v="1"/>
  </r>
  <r>
    <x v="34"/>
    <x v="1"/>
    <x v="1"/>
    <x v="2"/>
    <x v="0"/>
    <x v="24"/>
    <n v="1.7"/>
    <n v="60"/>
    <n v="50"/>
    <n v="16"/>
    <n v="41"/>
    <n v="79"/>
    <n v="52"/>
    <n v="79"/>
    <n v="53.400000000000006"/>
    <x v="1"/>
    <s v="C"/>
    <x v="2"/>
    <s v="AVERAGE"/>
    <x v="1"/>
  </r>
  <r>
    <x v="35"/>
    <x v="0"/>
    <x v="0"/>
    <x v="0"/>
    <x v="1"/>
    <x v="17"/>
    <n v="1.9"/>
    <n v="96"/>
    <n v="35"/>
    <n v="19"/>
    <n v="19"/>
    <n v="85"/>
    <n v="55"/>
    <n v="52"/>
    <n v="46"/>
    <x v="1"/>
    <s v="D"/>
    <x v="1"/>
    <s v="AVERAGE"/>
    <x v="1"/>
  </r>
  <r>
    <x v="36"/>
    <x v="0"/>
    <x v="2"/>
    <x v="0"/>
    <x v="0"/>
    <x v="25"/>
    <n v="5.5"/>
    <n v="84"/>
    <n v="48"/>
    <n v="56"/>
    <n v="25"/>
    <n v="28"/>
    <n v="91"/>
    <n v="38"/>
    <n v="47.599999999999994"/>
    <x v="1"/>
    <s v="D"/>
    <x v="3"/>
    <s v="AVERAGE"/>
    <x v="1"/>
  </r>
  <r>
    <x v="37"/>
    <x v="0"/>
    <x v="0"/>
    <x v="1"/>
    <x v="0"/>
    <x v="26"/>
    <n v="1.2"/>
    <n v="74"/>
    <n v="44"/>
    <n v="43"/>
    <n v="46"/>
    <n v="42"/>
    <n v="89"/>
    <n v="44"/>
    <n v="52.800000000000004"/>
    <x v="0"/>
    <s v="C"/>
    <x v="0"/>
    <s v="AVERAGE"/>
    <x v="0"/>
  </r>
  <r>
    <x v="38"/>
    <x v="0"/>
    <x v="3"/>
    <x v="3"/>
    <x v="0"/>
    <x v="21"/>
    <n v="2.9"/>
    <n v="81"/>
    <n v="31"/>
    <n v="71"/>
    <n v="33"/>
    <n v="47"/>
    <n v="71"/>
    <n v="96"/>
    <n v="63.6"/>
    <x v="1"/>
    <s v="B"/>
    <x v="2"/>
    <s v="GOOD"/>
    <x v="1"/>
  </r>
  <r>
    <x v="39"/>
    <x v="1"/>
    <x v="0"/>
    <x v="2"/>
    <x v="0"/>
    <x v="4"/>
    <n v="1.2"/>
    <n v="69"/>
    <n v="47"/>
    <n v="82"/>
    <n v="82"/>
    <n v="92"/>
    <n v="81"/>
    <n v="50"/>
    <n v="77.400000000000006"/>
    <x v="0"/>
    <s v="B"/>
    <x v="0"/>
    <s v="GOOD"/>
    <x v="0"/>
  </r>
  <r>
    <x v="40"/>
    <x v="0"/>
    <x v="1"/>
    <x v="2"/>
    <x v="1"/>
    <x v="19"/>
    <n v="2.4"/>
    <n v="85"/>
    <n v="50"/>
    <n v="32"/>
    <n v="63"/>
    <n v="89"/>
    <n v="83"/>
    <n v="59"/>
    <n v="65.2"/>
    <x v="1"/>
    <s v="B"/>
    <x v="2"/>
    <s v="GOOD"/>
    <x v="1"/>
  </r>
  <r>
    <x v="41"/>
    <x v="0"/>
    <x v="2"/>
    <x v="1"/>
    <x v="0"/>
    <x v="27"/>
    <n v="3.4"/>
    <n v="99"/>
    <n v="18"/>
    <n v="52"/>
    <n v="48"/>
    <n v="25"/>
    <n v="56"/>
    <n v="78"/>
    <n v="51.800000000000004"/>
    <x v="1"/>
    <s v="C"/>
    <x v="2"/>
    <s v="AVERAGE"/>
    <x v="1"/>
  </r>
  <r>
    <x v="42"/>
    <x v="1"/>
    <x v="3"/>
    <x v="0"/>
    <x v="1"/>
    <x v="28"/>
    <n v="2.5"/>
    <n v="86"/>
    <n v="31"/>
    <n v="31"/>
    <n v="12"/>
    <n v="50"/>
    <n v="72"/>
    <n v="95"/>
    <n v="52"/>
    <x v="1"/>
    <s v="C"/>
    <x v="1"/>
    <s v="AVERAGE"/>
    <x v="1"/>
  </r>
  <r>
    <x v="43"/>
    <x v="0"/>
    <x v="1"/>
    <x v="0"/>
    <x v="0"/>
    <x v="2"/>
    <n v="1.2"/>
    <n v="76"/>
    <n v="20"/>
    <n v="75"/>
    <n v="50"/>
    <n v="88"/>
    <n v="98"/>
    <n v="30"/>
    <n v="68.2"/>
    <x v="1"/>
    <s v="B"/>
    <x v="2"/>
    <s v="GOOD"/>
    <x v="1"/>
  </r>
  <r>
    <x v="44"/>
    <x v="1"/>
    <x v="3"/>
    <x v="2"/>
    <x v="0"/>
    <x v="19"/>
    <n v="4.5"/>
    <n v="88"/>
    <n v="27"/>
    <n v="55"/>
    <n v="32"/>
    <n v="78"/>
    <n v="67"/>
    <n v="36"/>
    <n v="53.6"/>
    <x v="1"/>
    <s v="C"/>
    <x v="1"/>
    <s v="AVERAGE"/>
    <x v="1"/>
  </r>
  <r>
    <x v="45"/>
    <x v="1"/>
    <x v="3"/>
    <x v="1"/>
    <x v="0"/>
    <x v="29"/>
    <n v="5.3"/>
    <n v="55"/>
    <n v="49"/>
    <n v="11"/>
    <n v="69"/>
    <n v="31"/>
    <n v="88"/>
    <n v="94"/>
    <n v="58.599999999999994"/>
    <x v="1"/>
    <s v="C"/>
    <x v="1"/>
    <s v="AVERAGE"/>
    <x v="1"/>
  </r>
  <r>
    <x v="46"/>
    <x v="0"/>
    <x v="2"/>
    <x v="3"/>
    <x v="1"/>
    <x v="5"/>
    <n v="5.4"/>
    <n v="83"/>
    <n v="28"/>
    <n v="61"/>
    <n v="51"/>
    <n v="29"/>
    <n v="78"/>
    <n v="71"/>
    <n v="57.999999999999993"/>
    <x v="1"/>
    <s v="C"/>
    <x v="2"/>
    <s v="AVERAGE"/>
    <x v="1"/>
  </r>
  <r>
    <x v="47"/>
    <x v="0"/>
    <x v="0"/>
    <x v="0"/>
    <x v="1"/>
    <x v="28"/>
    <n v="5.7"/>
    <n v="78"/>
    <n v="50"/>
    <n v="34"/>
    <n v="53"/>
    <n v="58"/>
    <n v="100"/>
    <n v="99"/>
    <n v="68.8"/>
    <x v="1"/>
    <s v="B"/>
    <x v="2"/>
    <s v="GOOD"/>
    <x v="1"/>
  </r>
  <r>
    <x v="48"/>
    <x v="0"/>
    <x v="3"/>
    <x v="3"/>
    <x v="0"/>
    <x v="30"/>
    <n v="1.5"/>
    <n v="99"/>
    <n v="18"/>
    <n v="32"/>
    <n v="36"/>
    <n v="80"/>
    <n v="66"/>
    <n v="70"/>
    <n v="56.8"/>
    <x v="1"/>
    <s v="C"/>
    <x v="1"/>
    <s v="AVERAGE"/>
    <x v="1"/>
  </r>
  <r>
    <x v="49"/>
    <x v="0"/>
    <x v="1"/>
    <x v="2"/>
    <x v="0"/>
    <x v="30"/>
    <n v="2.8"/>
    <n v="100"/>
    <n v="41"/>
    <n v="27"/>
    <n v="66"/>
    <n v="61"/>
    <n v="90"/>
    <n v="97"/>
    <n v="68.2"/>
    <x v="1"/>
    <s v="B"/>
    <x v="2"/>
    <s v="GOOD"/>
    <x v="1"/>
  </r>
  <r>
    <x v="50"/>
    <x v="1"/>
    <x v="3"/>
    <x v="1"/>
    <x v="1"/>
    <x v="31"/>
    <n v="2.4"/>
    <n v="64"/>
    <n v="29"/>
    <n v="47"/>
    <n v="94"/>
    <n v="76"/>
    <n v="83"/>
    <n v="61"/>
    <n v="72.2"/>
    <x v="0"/>
    <s v="B"/>
    <x v="0"/>
    <s v="GOOD"/>
    <x v="0"/>
  </r>
  <r>
    <x v="51"/>
    <x v="0"/>
    <x v="2"/>
    <x v="1"/>
    <x v="1"/>
    <x v="27"/>
    <n v="3"/>
    <n v="88"/>
    <n v="43"/>
    <n v="29"/>
    <n v="72"/>
    <n v="34"/>
    <n v="51"/>
    <n v="74"/>
    <n v="52"/>
    <x v="1"/>
    <s v="C"/>
    <x v="1"/>
    <s v="AVERAGE"/>
    <x v="1"/>
  </r>
  <r>
    <x v="52"/>
    <x v="0"/>
    <x v="0"/>
    <x v="3"/>
    <x v="1"/>
    <x v="32"/>
    <n v="4.0999999999999996"/>
    <n v="90"/>
    <n v="21"/>
    <n v="75"/>
    <n v="13"/>
    <n v="26"/>
    <n v="57"/>
    <n v="41"/>
    <n v="42.4"/>
    <x v="1"/>
    <s v="D"/>
    <x v="1"/>
    <s v="AVERAGE"/>
    <x v="1"/>
  </r>
  <r>
    <x v="53"/>
    <x v="0"/>
    <x v="0"/>
    <x v="3"/>
    <x v="1"/>
    <x v="14"/>
    <n v="3.2"/>
    <n v="66"/>
    <n v="41"/>
    <n v="15"/>
    <n v="31"/>
    <n v="49"/>
    <n v="74"/>
    <n v="81"/>
    <n v="50"/>
    <x v="1"/>
    <s v="D"/>
    <x v="1"/>
    <s v="AVERAGE"/>
    <x v="1"/>
  </r>
  <r>
    <x v="54"/>
    <x v="0"/>
    <x v="3"/>
    <x v="1"/>
    <x v="1"/>
    <x v="33"/>
    <n v="1.9"/>
    <n v="61"/>
    <n v="31"/>
    <n v="31"/>
    <n v="71"/>
    <n v="43"/>
    <n v="82"/>
    <n v="53"/>
    <n v="56.000000000000007"/>
    <x v="1"/>
    <s v="C"/>
    <x v="2"/>
    <s v="AVERAGE"/>
    <x v="1"/>
  </r>
  <r>
    <x v="55"/>
    <x v="0"/>
    <x v="1"/>
    <x v="0"/>
    <x v="0"/>
    <x v="29"/>
    <n v="2.9"/>
    <n v="69"/>
    <n v="30"/>
    <n v="55"/>
    <n v="78"/>
    <n v="70"/>
    <n v="60"/>
    <n v="96"/>
    <n v="71.8"/>
    <x v="0"/>
    <s v="B"/>
    <x v="0"/>
    <s v="GOOD"/>
    <x v="0"/>
  </r>
  <r>
    <x v="56"/>
    <x v="1"/>
    <x v="3"/>
    <x v="2"/>
    <x v="0"/>
    <x v="1"/>
    <n v="1.8"/>
    <n v="67"/>
    <n v="50"/>
    <n v="29"/>
    <n v="64"/>
    <n v="47"/>
    <n v="65"/>
    <n v="99"/>
    <n v="60.8"/>
    <x v="1"/>
    <s v="B"/>
    <x v="2"/>
    <s v="GOOD"/>
    <x v="1"/>
  </r>
  <r>
    <x v="57"/>
    <x v="1"/>
    <x v="1"/>
    <x v="1"/>
    <x v="0"/>
    <x v="34"/>
    <n v="5.6"/>
    <n v="51"/>
    <n v="34"/>
    <n v="93"/>
    <n v="85"/>
    <n v="74"/>
    <n v="62"/>
    <n v="48"/>
    <n v="72.399999999999991"/>
    <x v="0"/>
    <s v="B"/>
    <x v="0"/>
    <s v="GOOD"/>
    <x v="0"/>
  </r>
  <r>
    <x v="58"/>
    <x v="1"/>
    <x v="1"/>
    <x v="2"/>
    <x v="1"/>
    <x v="35"/>
    <n v="5.5"/>
    <n v="51"/>
    <n v="49"/>
    <n v="46"/>
    <n v="30"/>
    <n v="47"/>
    <n v="53"/>
    <n v="86"/>
    <n v="52.400000000000006"/>
    <x v="1"/>
    <s v="C"/>
    <x v="2"/>
    <s v="AVERAGE"/>
    <x v="1"/>
  </r>
  <r>
    <x v="59"/>
    <x v="0"/>
    <x v="0"/>
    <x v="2"/>
    <x v="0"/>
    <x v="36"/>
    <n v="3.7"/>
    <n v="54"/>
    <n v="38"/>
    <n v="53"/>
    <n v="89"/>
    <n v="53"/>
    <n v="90"/>
    <n v="66"/>
    <n v="70.199999999999989"/>
    <x v="0"/>
    <s v="B"/>
    <x v="0"/>
    <s v="GOOD"/>
    <x v="0"/>
  </r>
  <r>
    <x v="60"/>
    <x v="1"/>
    <x v="3"/>
    <x v="0"/>
    <x v="1"/>
    <x v="37"/>
    <n v="2.5"/>
    <n v="61"/>
    <n v="39"/>
    <n v="11"/>
    <n v="82"/>
    <n v="67"/>
    <n v="72"/>
    <n v="30"/>
    <n v="52.400000000000006"/>
    <x v="1"/>
    <s v="C"/>
    <x v="1"/>
    <s v="AVERAGE"/>
    <x v="1"/>
  </r>
  <r>
    <x v="61"/>
    <x v="0"/>
    <x v="1"/>
    <x v="2"/>
    <x v="0"/>
    <x v="24"/>
    <n v="4.4000000000000004"/>
    <n v="59"/>
    <n v="40"/>
    <n v="62"/>
    <n v="47"/>
    <n v="65"/>
    <n v="81"/>
    <n v="79"/>
    <n v="66.8"/>
    <x v="0"/>
    <s v="B"/>
    <x v="0"/>
    <s v="GOOD"/>
    <x v="0"/>
  </r>
  <r>
    <x v="62"/>
    <x v="1"/>
    <x v="1"/>
    <x v="2"/>
    <x v="0"/>
    <x v="5"/>
    <n v="3.2"/>
    <n v="97"/>
    <n v="37"/>
    <n v="71"/>
    <n v="21"/>
    <n v="29"/>
    <n v="82"/>
    <n v="50"/>
    <n v="50.6"/>
    <x v="1"/>
    <s v="C"/>
    <x v="1"/>
    <s v="AVERAGE"/>
    <x v="1"/>
  </r>
  <r>
    <x v="63"/>
    <x v="1"/>
    <x v="1"/>
    <x v="3"/>
    <x v="0"/>
    <x v="38"/>
    <n v="1.2"/>
    <n v="96"/>
    <n v="35"/>
    <n v="88"/>
    <n v="26"/>
    <n v="30"/>
    <n v="51"/>
    <n v="99"/>
    <n v="58.8"/>
    <x v="1"/>
    <s v="C"/>
    <x v="1"/>
    <s v="AVERAGE"/>
    <x v="1"/>
  </r>
  <r>
    <x v="64"/>
    <x v="0"/>
    <x v="3"/>
    <x v="1"/>
    <x v="1"/>
    <x v="39"/>
    <n v="4.0999999999999996"/>
    <n v="50"/>
    <n v="18"/>
    <n v="71"/>
    <n v="89"/>
    <n v="79"/>
    <n v="80"/>
    <n v="32"/>
    <n v="70.199999999999989"/>
    <x v="1"/>
    <s v="B"/>
    <x v="2"/>
    <s v="GOOD"/>
    <x v="1"/>
  </r>
  <r>
    <x v="65"/>
    <x v="1"/>
    <x v="1"/>
    <x v="1"/>
    <x v="0"/>
    <x v="0"/>
    <n v="5.6"/>
    <n v="95"/>
    <n v="32"/>
    <n v="43"/>
    <n v="14"/>
    <n v="54"/>
    <n v="83"/>
    <n v="100"/>
    <n v="58.8"/>
    <x v="1"/>
    <s v="C"/>
    <x v="2"/>
    <s v="AVERAGE"/>
    <x v="1"/>
  </r>
  <r>
    <x v="66"/>
    <x v="1"/>
    <x v="2"/>
    <x v="3"/>
    <x v="0"/>
    <x v="25"/>
    <n v="1.3"/>
    <n v="71"/>
    <n v="28"/>
    <n v="21"/>
    <n v="63"/>
    <n v="59"/>
    <n v="72"/>
    <n v="55"/>
    <n v="54"/>
    <x v="1"/>
    <s v="C"/>
    <x v="2"/>
    <s v="AVERAGE"/>
    <x v="1"/>
  </r>
  <r>
    <x v="67"/>
    <x v="0"/>
    <x v="2"/>
    <x v="0"/>
    <x v="0"/>
    <x v="12"/>
    <n v="2.6"/>
    <n v="75"/>
    <n v="44"/>
    <n v="59"/>
    <n v="60"/>
    <n v="53"/>
    <n v="70"/>
    <n v="66"/>
    <n v="61.6"/>
    <x v="0"/>
    <s v="B"/>
    <x v="0"/>
    <s v="GOOD"/>
    <x v="0"/>
  </r>
  <r>
    <x v="68"/>
    <x v="1"/>
    <x v="3"/>
    <x v="2"/>
    <x v="0"/>
    <x v="40"/>
    <n v="2.4"/>
    <n v="60"/>
    <n v="33"/>
    <n v="60"/>
    <n v="37"/>
    <n v="58"/>
    <n v="95"/>
    <n v="32"/>
    <n v="56.399999999999991"/>
    <x v="1"/>
    <s v="C"/>
    <x v="1"/>
    <s v="AVERAGE"/>
    <x v="1"/>
  </r>
  <r>
    <x v="69"/>
    <x v="1"/>
    <x v="0"/>
    <x v="1"/>
    <x v="1"/>
    <x v="21"/>
    <n v="1.9"/>
    <n v="88"/>
    <n v="40"/>
    <n v="67"/>
    <n v="76"/>
    <n v="77"/>
    <n v="86"/>
    <n v="97"/>
    <n v="80.600000000000009"/>
    <x v="0"/>
    <s v="A"/>
    <x v="0"/>
    <s v="EXCELLENT"/>
    <x v="0"/>
  </r>
  <r>
    <x v="70"/>
    <x v="0"/>
    <x v="0"/>
    <x v="2"/>
    <x v="1"/>
    <x v="41"/>
    <n v="2.1"/>
    <n v="50"/>
    <n v="26"/>
    <n v="68"/>
    <n v="85"/>
    <n v="22"/>
    <n v="66"/>
    <n v="55"/>
    <n v="59.199999999999996"/>
    <x v="1"/>
    <s v="C"/>
    <x v="2"/>
    <s v="AVERAGE"/>
    <x v="1"/>
  </r>
  <r>
    <x v="71"/>
    <x v="0"/>
    <x v="1"/>
    <x v="2"/>
    <x v="0"/>
    <x v="25"/>
    <n v="2.9"/>
    <n v="88"/>
    <n v="44"/>
    <n v="57"/>
    <n v="67"/>
    <n v="26"/>
    <n v="75"/>
    <n v="73"/>
    <n v="59.599999999999994"/>
    <x v="1"/>
    <s v="C"/>
    <x v="2"/>
    <s v="AVERAGE"/>
    <x v="1"/>
  </r>
  <r>
    <x v="72"/>
    <x v="0"/>
    <x v="2"/>
    <x v="3"/>
    <x v="1"/>
    <x v="26"/>
    <n v="4.3"/>
    <n v="76"/>
    <n v="44"/>
    <n v="88"/>
    <n v="66"/>
    <n v="89"/>
    <n v="84"/>
    <n v="35"/>
    <n v="72.399999999999991"/>
    <x v="1"/>
    <s v="B"/>
    <x v="2"/>
    <s v="GOOD"/>
    <x v="1"/>
  </r>
  <r>
    <x v="73"/>
    <x v="1"/>
    <x v="2"/>
    <x v="0"/>
    <x v="0"/>
    <x v="5"/>
    <n v="1.5"/>
    <n v="78"/>
    <n v="20"/>
    <n v="20"/>
    <n v="62"/>
    <n v="34"/>
    <n v="100"/>
    <n v="47"/>
    <n v="52.6"/>
    <x v="1"/>
    <s v="C"/>
    <x v="1"/>
    <s v="AVERAGE"/>
    <x v="1"/>
  </r>
  <r>
    <x v="74"/>
    <x v="1"/>
    <x v="1"/>
    <x v="1"/>
    <x v="0"/>
    <x v="42"/>
    <n v="3.5"/>
    <n v="94"/>
    <n v="33"/>
    <n v="55"/>
    <n v="15"/>
    <n v="44"/>
    <n v="50"/>
    <n v="32"/>
    <n v="39.200000000000003"/>
    <x v="1"/>
    <s v="D"/>
    <x v="1"/>
    <s v="POOR"/>
    <x v="1"/>
  </r>
  <r>
    <x v="75"/>
    <x v="1"/>
    <x v="3"/>
    <x v="2"/>
    <x v="1"/>
    <x v="9"/>
    <n v="3.4"/>
    <n v="65"/>
    <n v="29"/>
    <n v="55"/>
    <n v="24"/>
    <n v="45"/>
    <n v="83"/>
    <n v="50"/>
    <n v="51.4"/>
    <x v="1"/>
    <s v="C"/>
    <x v="2"/>
    <s v="AVERAGE"/>
    <x v="1"/>
  </r>
  <r>
    <x v="76"/>
    <x v="1"/>
    <x v="3"/>
    <x v="2"/>
    <x v="0"/>
    <x v="30"/>
    <n v="5.7"/>
    <n v="90"/>
    <n v="29"/>
    <n v="46"/>
    <n v="65"/>
    <n v="94"/>
    <n v="57"/>
    <n v="93"/>
    <n v="71"/>
    <x v="0"/>
    <s v="B"/>
    <x v="0"/>
    <s v="GOOD"/>
    <x v="0"/>
  </r>
  <r>
    <x v="77"/>
    <x v="0"/>
    <x v="2"/>
    <x v="2"/>
    <x v="1"/>
    <x v="2"/>
    <n v="2.2999999999999998"/>
    <n v="88"/>
    <n v="30"/>
    <n v="30"/>
    <n v="93"/>
    <n v="48"/>
    <n v="74"/>
    <n v="38"/>
    <n v="56.599999999999994"/>
    <x v="1"/>
    <s v="C"/>
    <x v="1"/>
    <s v="AVERAGE"/>
    <x v="1"/>
  </r>
  <r>
    <x v="78"/>
    <x v="1"/>
    <x v="0"/>
    <x v="3"/>
    <x v="1"/>
    <x v="34"/>
    <n v="3.6"/>
    <n v="56"/>
    <n v="45"/>
    <n v="91"/>
    <n v="40"/>
    <n v="84"/>
    <n v="79"/>
    <n v="80"/>
    <n v="74.8"/>
    <x v="0"/>
    <s v="B"/>
    <x v="0"/>
    <s v="GOOD"/>
    <x v="0"/>
  </r>
  <r>
    <x v="79"/>
    <x v="1"/>
    <x v="2"/>
    <x v="0"/>
    <x v="0"/>
    <x v="7"/>
    <n v="3.9"/>
    <n v="98"/>
    <n v="22"/>
    <n v="64"/>
    <n v="35"/>
    <n v="30"/>
    <n v="96"/>
    <n v="31"/>
    <n v="51.2"/>
    <x v="1"/>
    <s v="C"/>
    <x v="3"/>
    <s v="AVERAGE"/>
    <x v="1"/>
  </r>
  <r>
    <x v="80"/>
    <x v="1"/>
    <x v="2"/>
    <x v="1"/>
    <x v="0"/>
    <x v="10"/>
    <n v="2.2999999999999998"/>
    <n v="65"/>
    <n v="48"/>
    <n v="83"/>
    <n v="90"/>
    <n v="95"/>
    <n v="60"/>
    <n v="66"/>
    <n v="78.8"/>
    <x v="0"/>
    <s v="B"/>
    <x v="0"/>
    <s v="GOOD"/>
    <x v="0"/>
  </r>
  <r>
    <x v="81"/>
    <x v="0"/>
    <x v="1"/>
    <x v="3"/>
    <x v="0"/>
    <x v="43"/>
    <n v="1.1000000000000001"/>
    <n v="64"/>
    <n v="30"/>
    <n v="74"/>
    <n v="78"/>
    <n v="49"/>
    <n v="79"/>
    <n v="60"/>
    <n v="68"/>
    <x v="0"/>
    <s v="B"/>
    <x v="0"/>
    <s v="GOOD"/>
    <x v="0"/>
  </r>
  <r>
    <x v="82"/>
    <x v="0"/>
    <x v="3"/>
    <x v="2"/>
    <x v="0"/>
    <x v="27"/>
    <n v="3.3"/>
    <n v="82"/>
    <n v="23"/>
    <n v="49"/>
    <n v="43"/>
    <n v="73"/>
    <n v="87"/>
    <n v="42"/>
    <n v="58.8"/>
    <x v="0"/>
    <s v="C"/>
    <x v="0"/>
    <s v="AVERAGE"/>
    <x v="0"/>
  </r>
  <r>
    <x v="83"/>
    <x v="1"/>
    <x v="2"/>
    <x v="2"/>
    <x v="1"/>
    <x v="9"/>
    <n v="3.7"/>
    <n v="67"/>
    <n v="39"/>
    <n v="82"/>
    <n v="30"/>
    <n v="87"/>
    <n v="62"/>
    <n v="75"/>
    <n v="67.2"/>
    <x v="1"/>
    <s v="B"/>
    <x v="2"/>
    <s v="GOOD"/>
    <x v="1"/>
  </r>
  <r>
    <x v="84"/>
    <x v="0"/>
    <x v="1"/>
    <x v="2"/>
    <x v="0"/>
    <x v="12"/>
    <n v="2.2000000000000002"/>
    <n v="91"/>
    <n v="25"/>
    <n v="45"/>
    <n v="83"/>
    <n v="83"/>
    <n v="91"/>
    <n v="32"/>
    <n v="66.8"/>
    <x v="1"/>
    <s v="B"/>
    <x v="2"/>
    <s v="GOOD"/>
    <x v="1"/>
  </r>
  <r>
    <x v="85"/>
    <x v="0"/>
    <x v="0"/>
    <x v="0"/>
    <x v="1"/>
    <x v="44"/>
    <n v="3.4"/>
    <n v="80"/>
    <n v="18"/>
    <n v="64"/>
    <n v="43"/>
    <n v="97"/>
    <n v="78"/>
    <n v="31"/>
    <n v="62.6"/>
    <x v="1"/>
    <s v="B"/>
    <x v="2"/>
    <s v="GOOD"/>
    <x v="1"/>
  </r>
  <r>
    <x v="86"/>
    <x v="1"/>
    <x v="0"/>
    <x v="2"/>
    <x v="1"/>
    <x v="42"/>
    <n v="4.9000000000000004"/>
    <n v="83"/>
    <n v="46"/>
    <n v="79"/>
    <n v="75"/>
    <n v="35"/>
    <n v="60"/>
    <n v="62"/>
    <n v="62.2"/>
    <x v="1"/>
    <s v="B"/>
    <x v="2"/>
    <s v="GOOD"/>
    <x v="1"/>
  </r>
  <r>
    <x v="87"/>
    <x v="0"/>
    <x v="1"/>
    <x v="2"/>
    <x v="0"/>
    <x v="20"/>
    <n v="3.7"/>
    <n v="54"/>
    <n v="38"/>
    <n v="12"/>
    <n v="40"/>
    <n v="48"/>
    <n v="84"/>
    <n v="99"/>
    <n v="56.599999999999994"/>
    <x v="1"/>
    <s v="C"/>
    <x v="2"/>
    <s v="AVERAGE"/>
    <x v="1"/>
  </r>
  <r>
    <x v="88"/>
    <x v="1"/>
    <x v="0"/>
    <x v="3"/>
    <x v="0"/>
    <x v="9"/>
    <n v="2.2000000000000002"/>
    <n v="51"/>
    <n v="18"/>
    <n v="69"/>
    <n v="28"/>
    <n v="97"/>
    <n v="69"/>
    <n v="49"/>
    <n v="62.4"/>
    <x v="1"/>
    <s v="B"/>
    <x v="2"/>
    <s v="GOOD"/>
    <x v="1"/>
  </r>
  <r>
    <x v="89"/>
    <x v="0"/>
    <x v="2"/>
    <x v="2"/>
    <x v="0"/>
    <x v="26"/>
    <n v="4.3"/>
    <n v="74"/>
    <n v="42"/>
    <n v="58"/>
    <n v="28"/>
    <n v="24"/>
    <n v="60"/>
    <n v="86"/>
    <n v="51.2"/>
    <x v="1"/>
    <s v="C"/>
    <x v="1"/>
    <s v="AVERAGE"/>
    <x v="1"/>
  </r>
  <r>
    <x v="90"/>
    <x v="1"/>
    <x v="2"/>
    <x v="1"/>
    <x v="1"/>
    <x v="8"/>
    <n v="5.3"/>
    <n v="95"/>
    <n v="38"/>
    <n v="92"/>
    <n v="87"/>
    <n v="57"/>
    <n v="50"/>
    <n v="53"/>
    <n v="67.800000000000011"/>
    <x v="0"/>
    <s v="B"/>
    <x v="0"/>
    <s v="GOOD"/>
    <x v="0"/>
  </r>
  <r>
    <x v="91"/>
    <x v="1"/>
    <x v="0"/>
    <x v="1"/>
    <x v="0"/>
    <x v="17"/>
    <n v="1.6"/>
    <n v="85"/>
    <n v="44"/>
    <n v="63"/>
    <n v="23"/>
    <n v="36"/>
    <n v="81"/>
    <n v="33"/>
    <n v="47.199999999999996"/>
    <x v="1"/>
    <s v="D"/>
    <x v="3"/>
    <s v="AVERAGE"/>
    <x v="1"/>
  </r>
  <r>
    <x v="92"/>
    <x v="1"/>
    <x v="1"/>
    <x v="3"/>
    <x v="0"/>
    <x v="7"/>
    <n v="5.6"/>
    <n v="92"/>
    <n v="20"/>
    <n v="32"/>
    <n v="82"/>
    <n v="85"/>
    <n v="90"/>
    <n v="89"/>
    <n v="75.599999999999994"/>
    <x v="1"/>
    <s v="B"/>
    <x v="2"/>
    <s v="GOOD"/>
    <x v="1"/>
  </r>
  <r>
    <x v="93"/>
    <x v="0"/>
    <x v="2"/>
    <x v="1"/>
    <x v="0"/>
    <x v="45"/>
    <n v="3.3"/>
    <n v="57"/>
    <n v="49"/>
    <n v="33"/>
    <n v="21"/>
    <n v="39"/>
    <n v="88"/>
    <n v="99"/>
    <n v="56.000000000000007"/>
    <x v="1"/>
    <s v="C"/>
    <x v="3"/>
    <s v="AVERAGE"/>
    <x v="1"/>
  </r>
  <r>
    <x v="94"/>
    <x v="1"/>
    <x v="1"/>
    <x v="3"/>
    <x v="0"/>
    <x v="23"/>
    <n v="5.9"/>
    <n v="63"/>
    <n v="27"/>
    <n v="57"/>
    <n v="79"/>
    <n v="66"/>
    <n v="78"/>
    <n v="40"/>
    <n v="64"/>
    <x v="0"/>
    <s v="B"/>
    <x v="0"/>
    <s v="GOOD"/>
    <x v="0"/>
  </r>
  <r>
    <x v="95"/>
    <x v="1"/>
    <x v="3"/>
    <x v="3"/>
    <x v="0"/>
    <x v="27"/>
    <n v="1.6"/>
    <n v="74"/>
    <n v="39"/>
    <n v="10"/>
    <n v="89"/>
    <n v="85"/>
    <n v="83"/>
    <n v="60"/>
    <n v="65.400000000000006"/>
    <x v="1"/>
    <s v="B"/>
    <x v="2"/>
    <s v="GOOD"/>
    <x v="1"/>
  </r>
  <r>
    <x v="96"/>
    <x v="1"/>
    <x v="2"/>
    <x v="2"/>
    <x v="0"/>
    <x v="9"/>
    <n v="1.4"/>
    <n v="55"/>
    <n v="28"/>
    <n v="80"/>
    <n v="54"/>
    <n v="32"/>
    <n v="86"/>
    <n v="41"/>
    <n v="58.599999999999994"/>
    <x v="1"/>
    <s v="C"/>
    <x v="2"/>
    <s v="AVERAGE"/>
    <x v="1"/>
  </r>
  <r>
    <x v="97"/>
    <x v="0"/>
    <x v="2"/>
    <x v="1"/>
    <x v="0"/>
    <x v="44"/>
    <n v="4.3"/>
    <n v="97"/>
    <n v="44"/>
    <n v="47"/>
    <n v="62"/>
    <n v="63"/>
    <n v="71"/>
    <n v="61"/>
    <n v="60.8"/>
    <x v="0"/>
    <s v="B"/>
    <x v="0"/>
    <s v="GOOD"/>
    <x v="0"/>
  </r>
  <r>
    <x v="98"/>
    <x v="0"/>
    <x v="1"/>
    <x v="0"/>
    <x v="0"/>
    <x v="46"/>
    <n v="5.6"/>
    <n v="55"/>
    <n v="45"/>
    <n v="25"/>
    <n v="71"/>
    <n v="81"/>
    <n v="51"/>
    <n v="98"/>
    <n v="65.2"/>
    <x v="1"/>
    <s v="B"/>
    <x v="2"/>
    <s v="GOOD"/>
    <x v="1"/>
  </r>
  <r>
    <x v="99"/>
    <x v="0"/>
    <x v="0"/>
    <x v="3"/>
    <x v="0"/>
    <x v="2"/>
    <n v="4.5999999999999996"/>
    <n v="89"/>
    <n v="31"/>
    <n v="14"/>
    <n v="58"/>
    <n v="85"/>
    <n v="73"/>
    <n v="89"/>
    <n v="63.800000000000004"/>
    <x v="1"/>
    <s v="B"/>
    <x v="2"/>
    <s v="GOOD"/>
    <x v="1"/>
  </r>
  <r>
    <x v="100"/>
    <x v="0"/>
    <x v="0"/>
    <x v="1"/>
    <x v="1"/>
    <x v="36"/>
    <n v="5.7"/>
    <n v="55"/>
    <n v="50"/>
    <n v="55"/>
    <n v="56"/>
    <n v="47"/>
    <n v="73"/>
    <n v="60"/>
    <n v="58.199999999999996"/>
    <x v="0"/>
    <s v="C"/>
    <x v="0"/>
    <s v="AVERAGE"/>
    <x v="0"/>
  </r>
  <r>
    <x v="101"/>
    <x v="0"/>
    <x v="1"/>
    <x v="0"/>
    <x v="1"/>
    <x v="8"/>
    <n v="1.9"/>
    <n v="78"/>
    <n v="19"/>
    <n v="24"/>
    <n v="48"/>
    <n v="60"/>
    <n v="77"/>
    <n v="92"/>
    <n v="60.199999999999996"/>
    <x v="1"/>
    <s v="B"/>
    <x v="2"/>
    <s v="GOOD"/>
    <x v="1"/>
  </r>
  <r>
    <x v="102"/>
    <x v="0"/>
    <x v="2"/>
    <x v="2"/>
    <x v="0"/>
    <x v="21"/>
    <n v="2.7"/>
    <n v="77"/>
    <n v="20"/>
    <n v="76"/>
    <n v="47"/>
    <n v="34"/>
    <n v="72"/>
    <n v="79"/>
    <n v="61.6"/>
    <x v="1"/>
    <s v="B"/>
    <x v="2"/>
    <s v="GOOD"/>
    <x v="1"/>
  </r>
  <r>
    <x v="103"/>
    <x v="0"/>
    <x v="2"/>
    <x v="3"/>
    <x v="0"/>
    <x v="30"/>
    <n v="5.9"/>
    <n v="99"/>
    <n v="29"/>
    <n v="95"/>
    <n v="18"/>
    <n v="55"/>
    <n v="84"/>
    <n v="41"/>
    <n v="58.599999999999994"/>
    <x v="1"/>
    <s v="C"/>
    <x v="2"/>
    <s v="AVERAGE"/>
    <x v="1"/>
  </r>
  <r>
    <x v="104"/>
    <x v="0"/>
    <x v="3"/>
    <x v="0"/>
    <x v="0"/>
    <x v="47"/>
    <n v="2.1"/>
    <n v="60"/>
    <n v="25"/>
    <n v="60"/>
    <n v="40"/>
    <n v="84"/>
    <n v="90"/>
    <n v="90"/>
    <n v="72.8"/>
    <x v="0"/>
    <s v="B"/>
    <x v="0"/>
    <s v="GOOD"/>
    <x v="0"/>
  </r>
  <r>
    <x v="105"/>
    <x v="1"/>
    <x v="2"/>
    <x v="1"/>
    <x v="0"/>
    <x v="5"/>
    <n v="5"/>
    <n v="94"/>
    <n v="20"/>
    <n v="62"/>
    <n v="80"/>
    <n v="95"/>
    <n v="56"/>
    <n v="47"/>
    <n v="68"/>
    <x v="0"/>
    <s v="B"/>
    <x v="0"/>
    <s v="GOOD"/>
    <x v="0"/>
  </r>
  <r>
    <x v="106"/>
    <x v="1"/>
    <x v="0"/>
    <x v="0"/>
    <x v="1"/>
    <x v="9"/>
    <n v="5.6"/>
    <n v="66"/>
    <n v="22"/>
    <n v="47"/>
    <n v="60"/>
    <n v="24"/>
    <n v="51"/>
    <n v="35"/>
    <n v="43.4"/>
    <x v="1"/>
    <s v="D"/>
    <x v="1"/>
    <s v="AVERAGE"/>
    <x v="1"/>
  </r>
  <r>
    <x v="107"/>
    <x v="1"/>
    <x v="2"/>
    <x v="0"/>
    <x v="1"/>
    <x v="48"/>
    <n v="3"/>
    <n v="50"/>
    <n v="40"/>
    <n v="18"/>
    <n v="52"/>
    <n v="42"/>
    <n v="88"/>
    <n v="70"/>
    <n v="54"/>
    <x v="1"/>
    <s v="C"/>
    <x v="2"/>
    <s v="AVERAGE"/>
    <x v="1"/>
  </r>
  <r>
    <x v="108"/>
    <x v="1"/>
    <x v="2"/>
    <x v="3"/>
    <x v="1"/>
    <x v="2"/>
    <n v="5.8"/>
    <n v="97"/>
    <n v="32"/>
    <n v="66"/>
    <n v="31"/>
    <n v="41"/>
    <n v="72"/>
    <n v="68"/>
    <n v="55.600000000000009"/>
    <x v="1"/>
    <s v="C"/>
    <x v="2"/>
    <s v="AVERAGE"/>
    <x v="1"/>
  </r>
  <r>
    <x v="109"/>
    <x v="0"/>
    <x v="1"/>
    <x v="0"/>
    <x v="0"/>
    <x v="7"/>
    <n v="4"/>
    <n v="84"/>
    <n v="25"/>
    <n v="44"/>
    <n v="76"/>
    <n v="47"/>
    <n v="81"/>
    <n v="80"/>
    <n v="65.600000000000009"/>
    <x v="0"/>
    <s v="B"/>
    <x v="0"/>
    <s v="GOOD"/>
    <x v="0"/>
  </r>
  <r>
    <x v="110"/>
    <x v="1"/>
    <x v="1"/>
    <x v="3"/>
    <x v="1"/>
    <x v="40"/>
    <n v="3.1"/>
    <n v="62"/>
    <n v="45"/>
    <n v="27"/>
    <n v="86"/>
    <n v="85"/>
    <n v="93"/>
    <n v="62"/>
    <n v="70.599999999999994"/>
    <x v="1"/>
    <s v="B"/>
    <x v="2"/>
    <s v="GOOD"/>
    <x v="1"/>
  </r>
  <r>
    <x v="111"/>
    <x v="1"/>
    <x v="2"/>
    <x v="1"/>
    <x v="0"/>
    <x v="32"/>
    <n v="1.8"/>
    <n v="99"/>
    <n v="40"/>
    <n v="52"/>
    <n v="22"/>
    <n v="47"/>
    <n v="96"/>
    <n v="99"/>
    <n v="63.2"/>
    <x v="1"/>
    <s v="B"/>
    <x v="2"/>
    <s v="GOOD"/>
    <x v="1"/>
  </r>
  <r>
    <x v="112"/>
    <x v="0"/>
    <x v="2"/>
    <x v="3"/>
    <x v="0"/>
    <x v="0"/>
    <n v="1.1000000000000001"/>
    <n v="82"/>
    <n v="26"/>
    <n v="93"/>
    <n v="58"/>
    <n v="55"/>
    <n v="97"/>
    <n v="56"/>
    <n v="71.8"/>
    <x v="0"/>
    <s v="B"/>
    <x v="0"/>
    <s v="GOOD"/>
    <x v="0"/>
  </r>
  <r>
    <x v="113"/>
    <x v="0"/>
    <x v="1"/>
    <x v="0"/>
    <x v="1"/>
    <x v="8"/>
    <n v="1.7"/>
    <n v="73"/>
    <n v="43"/>
    <n v="90"/>
    <n v="49"/>
    <n v="86"/>
    <n v="88"/>
    <n v="35"/>
    <n v="69.599999999999994"/>
    <x v="1"/>
    <s v="B"/>
    <x v="2"/>
    <s v="GOOD"/>
    <x v="1"/>
  </r>
  <r>
    <x v="114"/>
    <x v="0"/>
    <x v="0"/>
    <x v="3"/>
    <x v="1"/>
    <x v="4"/>
    <n v="4.0999999999999996"/>
    <n v="54"/>
    <n v="32"/>
    <n v="30"/>
    <n v="58"/>
    <n v="71"/>
    <n v="91"/>
    <n v="79"/>
    <n v="65.8"/>
    <x v="1"/>
    <s v="B"/>
    <x v="2"/>
    <s v="GOOD"/>
    <x v="1"/>
  </r>
  <r>
    <x v="115"/>
    <x v="1"/>
    <x v="2"/>
    <x v="3"/>
    <x v="1"/>
    <x v="6"/>
    <n v="5.9"/>
    <n v="73"/>
    <n v="47"/>
    <n v="38"/>
    <n v="83"/>
    <n v="66"/>
    <n v="87"/>
    <n v="42"/>
    <n v="63.2"/>
    <x v="1"/>
    <s v="B"/>
    <x v="2"/>
    <s v="GOOD"/>
    <x v="1"/>
  </r>
  <r>
    <x v="116"/>
    <x v="1"/>
    <x v="2"/>
    <x v="0"/>
    <x v="0"/>
    <x v="7"/>
    <n v="4"/>
    <n v="86"/>
    <n v="27"/>
    <n v="41"/>
    <n v="36"/>
    <n v="61"/>
    <n v="60"/>
    <n v="68"/>
    <n v="53.2"/>
    <x v="1"/>
    <s v="C"/>
    <x v="2"/>
    <s v="AVERAGE"/>
    <x v="1"/>
  </r>
  <r>
    <x v="117"/>
    <x v="0"/>
    <x v="3"/>
    <x v="1"/>
    <x v="0"/>
    <x v="19"/>
    <n v="2.2999999999999998"/>
    <n v="95"/>
    <n v="36"/>
    <n v="75"/>
    <n v="70"/>
    <n v="90"/>
    <n v="78"/>
    <n v="94"/>
    <n v="81.399999999999991"/>
    <x v="0"/>
    <s v="A"/>
    <x v="0"/>
    <s v="EXCELLENT"/>
    <x v="0"/>
  </r>
  <r>
    <x v="118"/>
    <x v="0"/>
    <x v="3"/>
    <x v="2"/>
    <x v="1"/>
    <x v="3"/>
    <n v="1.9"/>
    <n v="81"/>
    <n v="26"/>
    <n v="41"/>
    <n v="10"/>
    <n v="86"/>
    <n v="84"/>
    <n v="58"/>
    <n v="55.800000000000004"/>
    <x v="1"/>
    <s v="C"/>
    <x v="2"/>
    <s v="AVERAGE"/>
    <x v="1"/>
  </r>
  <r>
    <x v="119"/>
    <x v="1"/>
    <x v="0"/>
    <x v="1"/>
    <x v="0"/>
    <x v="2"/>
    <n v="5.9"/>
    <n v="84"/>
    <n v="46"/>
    <n v="24"/>
    <n v="68"/>
    <n v="22"/>
    <n v="83"/>
    <n v="93"/>
    <n v="57.999999999999993"/>
    <x v="1"/>
    <s v="C"/>
    <x v="1"/>
    <s v="AVERAGE"/>
    <x v="1"/>
  </r>
  <r>
    <x v="120"/>
    <x v="1"/>
    <x v="1"/>
    <x v="1"/>
    <x v="0"/>
    <x v="49"/>
    <n v="4.5999999999999996"/>
    <n v="68"/>
    <n v="34"/>
    <n v="27"/>
    <n v="32"/>
    <n v="57"/>
    <n v="73"/>
    <n v="34"/>
    <n v="44.6"/>
    <x v="1"/>
    <s v="D"/>
    <x v="3"/>
    <s v="AVERAGE"/>
    <x v="1"/>
  </r>
  <r>
    <x v="121"/>
    <x v="1"/>
    <x v="1"/>
    <x v="1"/>
    <x v="1"/>
    <x v="25"/>
    <n v="5.3"/>
    <n v="71"/>
    <n v="35"/>
    <n v="35"/>
    <n v="30"/>
    <n v="37"/>
    <n v="93"/>
    <n v="84"/>
    <n v="55.800000000000004"/>
    <x v="1"/>
    <s v="C"/>
    <x v="3"/>
    <s v="AVERAGE"/>
    <x v="1"/>
  </r>
  <r>
    <x v="122"/>
    <x v="1"/>
    <x v="1"/>
    <x v="2"/>
    <x v="0"/>
    <x v="6"/>
    <n v="1.7"/>
    <n v="96"/>
    <n v="39"/>
    <n v="51"/>
    <n v="71"/>
    <n v="78"/>
    <n v="97"/>
    <n v="39"/>
    <n v="67.2"/>
    <x v="1"/>
    <s v="B"/>
    <x v="2"/>
    <s v="GOOD"/>
    <x v="1"/>
  </r>
  <r>
    <x v="123"/>
    <x v="0"/>
    <x v="0"/>
    <x v="3"/>
    <x v="0"/>
    <x v="38"/>
    <n v="1.5"/>
    <n v="90"/>
    <n v="19"/>
    <n v="20"/>
    <n v="62"/>
    <n v="27"/>
    <n v="90"/>
    <n v="41"/>
    <n v="48"/>
    <x v="1"/>
    <s v="D"/>
    <x v="1"/>
    <s v="AVERAGE"/>
    <x v="1"/>
  </r>
  <r>
    <x v="124"/>
    <x v="1"/>
    <x v="3"/>
    <x v="2"/>
    <x v="0"/>
    <x v="44"/>
    <n v="1.1000000000000001"/>
    <n v="76"/>
    <n v="49"/>
    <n v="11"/>
    <n v="73"/>
    <n v="53"/>
    <n v="90"/>
    <n v="69"/>
    <n v="59.199999999999996"/>
    <x v="1"/>
    <s v="C"/>
    <x v="2"/>
    <s v="AVERAGE"/>
    <x v="1"/>
  </r>
  <r>
    <x v="125"/>
    <x v="1"/>
    <x v="3"/>
    <x v="3"/>
    <x v="1"/>
    <x v="21"/>
    <n v="3.8"/>
    <n v="80"/>
    <n v="47"/>
    <n v="68"/>
    <n v="95"/>
    <n v="53"/>
    <n v="96"/>
    <n v="63"/>
    <n v="75"/>
    <x v="0"/>
    <s v="B"/>
    <x v="0"/>
    <s v="GOOD"/>
    <x v="0"/>
  </r>
  <r>
    <x v="126"/>
    <x v="0"/>
    <x v="2"/>
    <x v="3"/>
    <x v="0"/>
    <x v="27"/>
    <n v="2.2000000000000002"/>
    <n v="95"/>
    <n v="33"/>
    <n v="14"/>
    <n v="74"/>
    <n v="61"/>
    <n v="69"/>
    <n v="56"/>
    <n v="54.800000000000004"/>
    <x v="1"/>
    <s v="C"/>
    <x v="2"/>
    <s v="AVERAGE"/>
    <x v="1"/>
  </r>
  <r>
    <x v="127"/>
    <x v="1"/>
    <x v="0"/>
    <x v="1"/>
    <x v="0"/>
    <x v="27"/>
    <n v="3"/>
    <n v="86"/>
    <n v="37"/>
    <n v="88"/>
    <n v="91"/>
    <n v="56"/>
    <n v="98"/>
    <n v="55"/>
    <n v="77.600000000000009"/>
    <x v="0"/>
    <s v="B"/>
    <x v="0"/>
    <s v="GOOD"/>
    <x v="0"/>
  </r>
  <r>
    <x v="128"/>
    <x v="1"/>
    <x v="3"/>
    <x v="1"/>
    <x v="1"/>
    <x v="0"/>
    <n v="2.4"/>
    <n v="87"/>
    <n v="44"/>
    <n v="20"/>
    <n v="14"/>
    <n v="84"/>
    <n v="69"/>
    <n v="91"/>
    <n v="55.600000000000009"/>
    <x v="1"/>
    <s v="C"/>
    <x v="1"/>
    <s v="AVERAGE"/>
    <x v="1"/>
  </r>
  <r>
    <x v="129"/>
    <x v="0"/>
    <x v="3"/>
    <x v="1"/>
    <x v="1"/>
    <x v="0"/>
    <n v="3.2"/>
    <n v="98"/>
    <n v="38"/>
    <n v="46"/>
    <n v="24"/>
    <n v="66"/>
    <n v="95"/>
    <n v="38"/>
    <n v="53.800000000000004"/>
    <x v="1"/>
    <s v="C"/>
    <x v="1"/>
    <s v="AVERAGE"/>
    <x v="1"/>
  </r>
  <r>
    <x v="130"/>
    <x v="1"/>
    <x v="0"/>
    <x v="0"/>
    <x v="1"/>
    <x v="0"/>
    <n v="2.6"/>
    <n v="100"/>
    <n v="18"/>
    <n v="20"/>
    <n v="41"/>
    <n v="48"/>
    <n v="57"/>
    <n v="68"/>
    <n v="46.800000000000004"/>
    <x v="1"/>
    <s v="D"/>
    <x v="2"/>
    <s v="AVERAGE"/>
    <x v="1"/>
  </r>
  <r>
    <x v="131"/>
    <x v="1"/>
    <x v="1"/>
    <x v="3"/>
    <x v="1"/>
    <x v="42"/>
    <n v="4.5999999999999996"/>
    <n v="73"/>
    <n v="21"/>
    <n v="21"/>
    <n v="43"/>
    <n v="50"/>
    <n v="50"/>
    <n v="47"/>
    <n v="42.199999999999996"/>
    <x v="1"/>
    <s v="D"/>
    <x v="2"/>
    <s v="AVERAGE"/>
    <x v="1"/>
  </r>
  <r>
    <x v="132"/>
    <x v="0"/>
    <x v="3"/>
    <x v="3"/>
    <x v="1"/>
    <x v="28"/>
    <n v="2.8"/>
    <n v="93"/>
    <n v="47"/>
    <n v="70"/>
    <n v="35"/>
    <n v="67"/>
    <n v="88"/>
    <n v="64"/>
    <n v="64.8"/>
    <x v="1"/>
    <s v="B"/>
    <x v="2"/>
    <s v="GOOD"/>
    <x v="1"/>
  </r>
  <r>
    <x v="133"/>
    <x v="1"/>
    <x v="2"/>
    <x v="1"/>
    <x v="1"/>
    <x v="7"/>
    <n v="4.2"/>
    <n v="87"/>
    <n v="29"/>
    <n v="57"/>
    <n v="39"/>
    <n v="31"/>
    <n v="74"/>
    <n v="75"/>
    <n v="55.2"/>
    <x v="1"/>
    <s v="C"/>
    <x v="1"/>
    <s v="AVERAGE"/>
    <x v="1"/>
  </r>
  <r>
    <x v="134"/>
    <x v="0"/>
    <x v="3"/>
    <x v="0"/>
    <x v="1"/>
    <x v="8"/>
    <n v="4.0999999999999996"/>
    <n v="91"/>
    <n v="22"/>
    <n v="36"/>
    <n v="25"/>
    <n v="83"/>
    <n v="100"/>
    <n v="52"/>
    <n v="59.199999999999996"/>
    <x v="1"/>
    <s v="C"/>
    <x v="1"/>
    <s v="AVERAGE"/>
    <x v="1"/>
  </r>
  <r>
    <x v="135"/>
    <x v="1"/>
    <x v="3"/>
    <x v="3"/>
    <x v="1"/>
    <x v="44"/>
    <n v="5.9"/>
    <n v="94"/>
    <n v="19"/>
    <n v="51"/>
    <n v="86"/>
    <n v="82"/>
    <n v="82"/>
    <n v="67"/>
    <n v="73.599999999999994"/>
    <x v="0"/>
    <s v="B"/>
    <x v="0"/>
    <s v="GOOD"/>
    <x v="0"/>
  </r>
  <r>
    <x v="136"/>
    <x v="0"/>
    <x v="3"/>
    <x v="3"/>
    <x v="1"/>
    <x v="7"/>
    <n v="2.9"/>
    <n v="92"/>
    <n v="31"/>
    <n v="32"/>
    <n v="89"/>
    <n v="23"/>
    <n v="80"/>
    <n v="34"/>
    <n v="51.6"/>
    <x v="1"/>
    <s v="C"/>
    <x v="3"/>
    <s v="AVERAGE"/>
    <x v="1"/>
  </r>
  <r>
    <x v="137"/>
    <x v="0"/>
    <x v="3"/>
    <x v="2"/>
    <x v="1"/>
    <x v="43"/>
    <n v="5.9"/>
    <n v="64"/>
    <n v="23"/>
    <n v="45"/>
    <n v="34"/>
    <n v="65"/>
    <n v="66"/>
    <n v="69"/>
    <n v="55.800000000000004"/>
    <x v="1"/>
    <s v="C"/>
    <x v="2"/>
    <s v="AVERAGE"/>
    <x v="1"/>
  </r>
  <r>
    <x v="138"/>
    <x v="1"/>
    <x v="3"/>
    <x v="0"/>
    <x v="0"/>
    <x v="30"/>
    <n v="5.0999999999999996"/>
    <n v="99"/>
    <n v="31"/>
    <n v="60"/>
    <n v="78"/>
    <n v="66"/>
    <n v="60"/>
    <n v="52"/>
    <n v="63.2"/>
    <x v="0"/>
    <s v="B"/>
    <x v="0"/>
    <s v="GOOD"/>
    <x v="0"/>
  </r>
  <r>
    <x v="139"/>
    <x v="0"/>
    <x v="1"/>
    <x v="2"/>
    <x v="1"/>
    <x v="50"/>
    <n v="2.5"/>
    <n v="59"/>
    <n v="39"/>
    <n v="58"/>
    <n v="75"/>
    <n v="92"/>
    <n v="98"/>
    <n v="89"/>
    <n v="82.399999999999991"/>
    <x v="0"/>
    <s v="A"/>
    <x v="0"/>
    <s v="EXCELLENT"/>
    <x v="0"/>
  </r>
  <r>
    <x v="140"/>
    <x v="1"/>
    <x v="0"/>
    <x v="3"/>
    <x v="1"/>
    <x v="19"/>
    <n v="2.2000000000000002"/>
    <n v="85"/>
    <n v="34"/>
    <n v="33"/>
    <n v="21"/>
    <n v="56"/>
    <n v="65"/>
    <n v="38"/>
    <n v="42.6"/>
    <x v="1"/>
    <s v="D"/>
    <x v="3"/>
    <s v="AVERAGE"/>
    <x v="1"/>
  </r>
  <r>
    <x v="141"/>
    <x v="0"/>
    <x v="3"/>
    <x v="0"/>
    <x v="0"/>
    <x v="33"/>
    <n v="1.1000000000000001"/>
    <n v="67"/>
    <n v="41"/>
    <n v="24"/>
    <n v="24"/>
    <n v="29"/>
    <n v="79"/>
    <n v="68"/>
    <n v="44.800000000000004"/>
    <x v="1"/>
    <s v="D"/>
    <x v="3"/>
    <s v="AVERAGE"/>
    <x v="1"/>
  </r>
  <r>
    <x v="142"/>
    <x v="0"/>
    <x v="1"/>
    <x v="3"/>
    <x v="1"/>
    <x v="51"/>
    <n v="3.7"/>
    <n v="67"/>
    <n v="26"/>
    <n v="42"/>
    <n v="30"/>
    <n v="57"/>
    <n v="89"/>
    <n v="31"/>
    <n v="49.8"/>
    <x v="1"/>
    <s v="D"/>
    <x v="1"/>
    <s v="AVERAGE"/>
    <x v="1"/>
  </r>
  <r>
    <x v="143"/>
    <x v="1"/>
    <x v="1"/>
    <x v="0"/>
    <x v="0"/>
    <x v="7"/>
    <n v="2.8"/>
    <n v="84"/>
    <n v="21"/>
    <n v="77"/>
    <n v="19"/>
    <n v="69"/>
    <n v="94"/>
    <n v="82"/>
    <n v="68.2"/>
    <x v="1"/>
    <s v="B"/>
    <x v="2"/>
    <s v="GOOD"/>
    <x v="1"/>
  </r>
  <r>
    <x v="144"/>
    <x v="0"/>
    <x v="3"/>
    <x v="1"/>
    <x v="0"/>
    <x v="27"/>
    <n v="3.4"/>
    <n v="91"/>
    <n v="48"/>
    <n v="59"/>
    <n v="79"/>
    <n v="28"/>
    <n v="96"/>
    <n v="48"/>
    <n v="62"/>
    <x v="1"/>
    <s v="B"/>
    <x v="2"/>
    <s v="GOOD"/>
    <x v="1"/>
  </r>
  <r>
    <x v="145"/>
    <x v="0"/>
    <x v="3"/>
    <x v="0"/>
    <x v="0"/>
    <x v="27"/>
    <n v="1.8"/>
    <n v="85"/>
    <n v="23"/>
    <n v="21"/>
    <n v="94"/>
    <n v="27"/>
    <n v="61"/>
    <n v="90"/>
    <n v="58.599999999999994"/>
    <x v="1"/>
    <s v="C"/>
    <x v="1"/>
    <s v="AVERAGE"/>
    <x v="1"/>
  </r>
  <r>
    <x v="146"/>
    <x v="0"/>
    <x v="0"/>
    <x v="1"/>
    <x v="0"/>
    <x v="7"/>
    <n v="2.6"/>
    <n v="75"/>
    <n v="34"/>
    <n v="74"/>
    <n v="89"/>
    <n v="80"/>
    <n v="51"/>
    <n v="53"/>
    <n v="69.399999999999991"/>
    <x v="0"/>
    <s v="B"/>
    <x v="0"/>
    <s v="GOOD"/>
    <x v="0"/>
  </r>
  <r>
    <x v="147"/>
    <x v="0"/>
    <x v="1"/>
    <x v="0"/>
    <x v="1"/>
    <x v="46"/>
    <n v="5.9"/>
    <n v="68"/>
    <n v="41"/>
    <n v="60"/>
    <n v="64"/>
    <n v="82"/>
    <n v="67"/>
    <n v="81"/>
    <n v="70.8"/>
    <x v="0"/>
    <s v="B"/>
    <x v="0"/>
    <s v="GOOD"/>
    <x v="0"/>
  </r>
  <r>
    <x v="148"/>
    <x v="1"/>
    <x v="3"/>
    <x v="3"/>
    <x v="0"/>
    <x v="52"/>
    <n v="1.1000000000000001"/>
    <n v="57"/>
    <n v="26"/>
    <n v="32"/>
    <n v="60"/>
    <n v="95"/>
    <n v="98"/>
    <n v="85"/>
    <n v="74"/>
    <x v="1"/>
    <s v="B"/>
    <x v="2"/>
    <s v="GOOD"/>
    <x v="1"/>
  </r>
  <r>
    <x v="149"/>
    <x v="0"/>
    <x v="2"/>
    <x v="3"/>
    <x v="0"/>
    <x v="37"/>
    <n v="5.7"/>
    <n v="51"/>
    <n v="45"/>
    <n v="28"/>
    <n v="80"/>
    <n v="23"/>
    <n v="63"/>
    <n v="86"/>
    <n v="56.000000000000007"/>
    <x v="1"/>
    <s v="C"/>
    <x v="1"/>
    <s v="AVERAGE"/>
    <x v="1"/>
  </r>
  <r>
    <x v="150"/>
    <x v="1"/>
    <x v="1"/>
    <x v="0"/>
    <x v="0"/>
    <x v="0"/>
    <n v="3.6"/>
    <n v="90"/>
    <n v="36"/>
    <n v="19"/>
    <n v="91"/>
    <n v="79"/>
    <n v="74"/>
    <n v="88"/>
    <n v="70.199999999999989"/>
    <x v="1"/>
    <s v="B"/>
    <x v="2"/>
    <s v="GOOD"/>
    <x v="1"/>
  </r>
  <r>
    <x v="151"/>
    <x v="0"/>
    <x v="3"/>
    <x v="3"/>
    <x v="0"/>
    <x v="45"/>
    <n v="2.2999999999999998"/>
    <n v="67"/>
    <n v="27"/>
    <n v="70"/>
    <n v="42"/>
    <n v="23"/>
    <n v="62"/>
    <n v="62"/>
    <n v="51.800000000000004"/>
    <x v="1"/>
    <s v="C"/>
    <x v="2"/>
    <s v="AVERAGE"/>
    <x v="1"/>
  </r>
  <r>
    <x v="152"/>
    <x v="1"/>
    <x v="0"/>
    <x v="2"/>
    <x v="1"/>
    <x v="10"/>
    <n v="2.2999999999999998"/>
    <n v="52"/>
    <n v="21"/>
    <n v="26"/>
    <n v="89"/>
    <n v="69"/>
    <n v="62"/>
    <n v="91"/>
    <n v="67.400000000000006"/>
    <x v="1"/>
    <s v="B"/>
    <x v="2"/>
    <s v="GOOD"/>
    <x v="1"/>
  </r>
  <r>
    <x v="153"/>
    <x v="0"/>
    <x v="2"/>
    <x v="3"/>
    <x v="0"/>
    <x v="26"/>
    <n v="3.7"/>
    <n v="92"/>
    <n v="29"/>
    <n v="85"/>
    <n v="82"/>
    <n v="28"/>
    <n v="100"/>
    <n v="53"/>
    <n v="69.599999999999994"/>
    <x v="1"/>
    <s v="B"/>
    <x v="2"/>
    <s v="GOOD"/>
    <x v="1"/>
  </r>
  <r>
    <x v="154"/>
    <x v="1"/>
    <x v="3"/>
    <x v="0"/>
    <x v="0"/>
    <x v="22"/>
    <n v="3.8"/>
    <n v="64"/>
    <n v="37"/>
    <n v="11"/>
    <n v="43"/>
    <n v="40"/>
    <n v="68"/>
    <n v="41"/>
    <n v="40.6"/>
    <x v="1"/>
    <s v="D"/>
    <x v="2"/>
    <s v="AVERAGE"/>
    <x v="1"/>
  </r>
  <r>
    <x v="155"/>
    <x v="0"/>
    <x v="2"/>
    <x v="2"/>
    <x v="0"/>
    <x v="42"/>
    <n v="4.7"/>
    <n v="96"/>
    <n v="48"/>
    <n v="16"/>
    <n v="46"/>
    <n v="74"/>
    <n v="61"/>
    <n v="99"/>
    <n v="59.199999999999996"/>
    <x v="1"/>
    <s v="C"/>
    <x v="2"/>
    <s v="AVERAGE"/>
    <x v="1"/>
  </r>
  <r>
    <x v="156"/>
    <x v="1"/>
    <x v="2"/>
    <x v="1"/>
    <x v="0"/>
    <x v="53"/>
    <n v="3.4"/>
    <n v="60"/>
    <n v="28"/>
    <n v="49"/>
    <n v="56"/>
    <n v="51"/>
    <n v="93"/>
    <n v="69"/>
    <n v="63.6"/>
    <x v="0"/>
    <s v="B"/>
    <x v="0"/>
    <s v="GOOD"/>
    <x v="0"/>
  </r>
  <r>
    <x v="157"/>
    <x v="1"/>
    <x v="3"/>
    <x v="1"/>
    <x v="1"/>
    <x v="54"/>
    <n v="3.4"/>
    <n v="58"/>
    <n v="39"/>
    <n v="10"/>
    <n v="60"/>
    <n v="93"/>
    <n v="54"/>
    <n v="55"/>
    <n v="54.400000000000006"/>
    <x v="1"/>
    <s v="C"/>
    <x v="2"/>
    <s v="AVERAGE"/>
    <x v="1"/>
  </r>
  <r>
    <x v="158"/>
    <x v="1"/>
    <x v="0"/>
    <x v="0"/>
    <x v="1"/>
    <x v="18"/>
    <n v="5.5"/>
    <n v="57"/>
    <n v="24"/>
    <n v="70"/>
    <n v="28"/>
    <n v="95"/>
    <n v="82"/>
    <n v="100"/>
    <n v="75"/>
    <x v="1"/>
    <s v="B"/>
    <x v="2"/>
    <s v="GOOD"/>
    <x v="1"/>
  </r>
  <r>
    <x v="159"/>
    <x v="1"/>
    <x v="0"/>
    <x v="1"/>
    <x v="0"/>
    <x v="55"/>
    <n v="4"/>
    <n v="53"/>
    <n v="24"/>
    <n v="73"/>
    <n v="94"/>
    <n v="32"/>
    <n v="66"/>
    <n v="79"/>
    <n v="68.8"/>
    <x v="1"/>
    <s v="B"/>
    <x v="2"/>
    <s v="GOOD"/>
    <x v="1"/>
  </r>
  <r>
    <x v="160"/>
    <x v="0"/>
    <x v="2"/>
    <x v="1"/>
    <x v="1"/>
    <x v="0"/>
    <n v="5.4"/>
    <n v="86"/>
    <n v="44"/>
    <n v="26"/>
    <n v="51"/>
    <n v="45"/>
    <n v="99"/>
    <n v="42"/>
    <n v="52.6"/>
    <x v="1"/>
    <s v="C"/>
    <x v="2"/>
    <s v="AVERAGE"/>
    <x v="1"/>
  </r>
  <r>
    <x v="161"/>
    <x v="1"/>
    <x v="1"/>
    <x v="0"/>
    <x v="0"/>
    <x v="5"/>
    <n v="2.7"/>
    <n v="89"/>
    <n v="50"/>
    <n v="83"/>
    <n v="91"/>
    <n v="54"/>
    <n v="65"/>
    <n v="88"/>
    <n v="76.2"/>
    <x v="0"/>
    <s v="B"/>
    <x v="0"/>
    <s v="GOOD"/>
    <x v="0"/>
  </r>
  <r>
    <x v="162"/>
    <x v="1"/>
    <x v="2"/>
    <x v="3"/>
    <x v="0"/>
    <x v="2"/>
    <n v="1.8"/>
    <n v="88"/>
    <n v="25"/>
    <n v="63"/>
    <n v="18"/>
    <n v="82"/>
    <n v="95"/>
    <n v="81"/>
    <n v="67.800000000000011"/>
    <x v="1"/>
    <s v="B"/>
    <x v="2"/>
    <s v="GOOD"/>
    <x v="1"/>
  </r>
  <r>
    <x v="163"/>
    <x v="1"/>
    <x v="0"/>
    <x v="0"/>
    <x v="0"/>
    <x v="56"/>
    <n v="3.1"/>
    <n v="59"/>
    <n v="22"/>
    <n v="36"/>
    <n v="76"/>
    <n v="84"/>
    <n v="86"/>
    <n v="72"/>
    <n v="70.8"/>
    <x v="1"/>
    <s v="B"/>
    <x v="2"/>
    <s v="GOOD"/>
    <x v="1"/>
  </r>
  <r>
    <x v="164"/>
    <x v="0"/>
    <x v="1"/>
    <x v="2"/>
    <x v="0"/>
    <x v="8"/>
    <n v="5.2"/>
    <n v="74"/>
    <n v="37"/>
    <n v="26"/>
    <n v="78"/>
    <n v="48"/>
    <n v="54"/>
    <n v="59"/>
    <n v="53"/>
    <x v="1"/>
    <s v="C"/>
    <x v="2"/>
    <s v="AVERAGE"/>
    <x v="1"/>
  </r>
  <r>
    <x v="165"/>
    <x v="0"/>
    <x v="1"/>
    <x v="2"/>
    <x v="0"/>
    <x v="23"/>
    <n v="5.3"/>
    <n v="62"/>
    <n v="46"/>
    <n v="63"/>
    <n v="58"/>
    <n v="75"/>
    <n v="65"/>
    <n v="91"/>
    <n v="70.399999999999991"/>
    <x v="0"/>
    <s v="B"/>
    <x v="0"/>
    <s v="GOOD"/>
    <x v="0"/>
  </r>
  <r>
    <x v="166"/>
    <x v="1"/>
    <x v="1"/>
    <x v="0"/>
    <x v="1"/>
    <x v="32"/>
    <n v="4.7"/>
    <n v="78"/>
    <n v="49"/>
    <n v="71"/>
    <n v="68"/>
    <n v="31"/>
    <n v="78"/>
    <n v="83"/>
    <n v="66.2"/>
    <x v="1"/>
    <s v="B"/>
    <x v="2"/>
    <s v="GOOD"/>
    <x v="1"/>
  </r>
  <r>
    <x v="167"/>
    <x v="0"/>
    <x v="1"/>
    <x v="2"/>
    <x v="0"/>
    <x v="2"/>
    <n v="4.2"/>
    <n v="83"/>
    <n v="38"/>
    <n v="58"/>
    <n v="86"/>
    <n v="97"/>
    <n v="91"/>
    <n v="47"/>
    <n v="75.8"/>
    <x v="0"/>
    <s v="B"/>
    <x v="0"/>
    <s v="GOOD"/>
    <x v="0"/>
  </r>
  <r>
    <x v="168"/>
    <x v="1"/>
    <x v="1"/>
    <x v="0"/>
    <x v="1"/>
    <x v="35"/>
    <n v="4.0999999999999996"/>
    <n v="56"/>
    <n v="32"/>
    <n v="29"/>
    <n v="58"/>
    <n v="94"/>
    <n v="79"/>
    <n v="33"/>
    <n v="58.599999999999994"/>
    <x v="1"/>
    <s v="C"/>
    <x v="1"/>
    <s v="AVERAGE"/>
    <x v="1"/>
  </r>
  <r>
    <x v="169"/>
    <x v="0"/>
    <x v="3"/>
    <x v="2"/>
    <x v="0"/>
    <x v="9"/>
    <n v="2.2999999999999998"/>
    <n v="51"/>
    <n v="39"/>
    <n v="55"/>
    <n v="91"/>
    <n v="37"/>
    <n v="97"/>
    <n v="34"/>
    <n v="62.8"/>
    <x v="1"/>
    <s v="B"/>
    <x v="1"/>
    <s v="GOOD"/>
    <x v="1"/>
  </r>
  <r>
    <x v="170"/>
    <x v="0"/>
    <x v="2"/>
    <x v="0"/>
    <x v="0"/>
    <x v="21"/>
    <n v="3.5"/>
    <n v="74"/>
    <n v="41"/>
    <n v="10"/>
    <n v="46"/>
    <n v="72"/>
    <n v="97"/>
    <n v="86"/>
    <n v="62.2"/>
    <x v="1"/>
    <s v="B"/>
    <x v="2"/>
    <s v="GOOD"/>
    <x v="1"/>
  </r>
  <r>
    <x v="171"/>
    <x v="1"/>
    <x v="0"/>
    <x v="3"/>
    <x v="1"/>
    <x v="56"/>
    <n v="6"/>
    <n v="51"/>
    <n v="20"/>
    <n v="70"/>
    <n v="61"/>
    <n v="24"/>
    <n v="64"/>
    <n v="43"/>
    <n v="52.400000000000006"/>
    <x v="1"/>
    <s v="C"/>
    <x v="2"/>
    <s v="AVERAGE"/>
    <x v="1"/>
  </r>
  <r>
    <x v="172"/>
    <x v="0"/>
    <x v="0"/>
    <x v="0"/>
    <x v="0"/>
    <x v="17"/>
    <n v="4.3"/>
    <n v="71"/>
    <n v="49"/>
    <n v="88"/>
    <n v="21"/>
    <n v="69"/>
    <n v="78"/>
    <n v="78"/>
    <n v="66.8"/>
    <x v="1"/>
    <s v="B"/>
    <x v="2"/>
    <s v="GOOD"/>
    <x v="1"/>
  </r>
  <r>
    <x v="173"/>
    <x v="0"/>
    <x v="0"/>
    <x v="2"/>
    <x v="1"/>
    <x v="14"/>
    <n v="1.8"/>
    <n v="57"/>
    <n v="38"/>
    <n v="15"/>
    <n v="23"/>
    <n v="93"/>
    <n v="75"/>
    <n v="81"/>
    <n v="57.4"/>
    <x v="1"/>
    <s v="C"/>
    <x v="1"/>
    <s v="AVERAGE"/>
    <x v="1"/>
  </r>
  <r>
    <x v="174"/>
    <x v="1"/>
    <x v="1"/>
    <x v="0"/>
    <x v="1"/>
    <x v="11"/>
    <n v="1.9"/>
    <n v="53"/>
    <n v="41"/>
    <n v="71"/>
    <n v="46"/>
    <n v="85"/>
    <n v="60"/>
    <n v="34"/>
    <n v="59.199999999999996"/>
    <x v="1"/>
    <s v="C"/>
    <x v="2"/>
    <s v="AVERAGE"/>
    <x v="1"/>
  </r>
  <r>
    <x v="175"/>
    <x v="1"/>
    <x v="3"/>
    <x v="0"/>
    <x v="1"/>
    <x v="57"/>
    <n v="1.7"/>
    <n v="80"/>
    <n v="19"/>
    <n v="76"/>
    <n v="18"/>
    <n v="34"/>
    <n v="60"/>
    <n v="50"/>
    <n v="47.599999999999994"/>
    <x v="1"/>
    <s v="D"/>
    <x v="1"/>
    <s v="AVERAGE"/>
    <x v="1"/>
  </r>
  <r>
    <x v="176"/>
    <x v="0"/>
    <x v="0"/>
    <x v="0"/>
    <x v="1"/>
    <x v="24"/>
    <n v="2"/>
    <n v="55"/>
    <n v="31"/>
    <n v="59"/>
    <n v="35"/>
    <n v="47"/>
    <n v="89"/>
    <n v="82"/>
    <n v="62.4"/>
    <x v="1"/>
    <s v="B"/>
    <x v="2"/>
    <s v="GOOD"/>
    <x v="1"/>
  </r>
  <r>
    <x v="177"/>
    <x v="1"/>
    <x v="3"/>
    <x v="3"/>
    <x v="0"/>
    <x v="12"/>
    <n v="1.8"/>
    <n v="98"/>
    <n v="42"/>
    <n v="34"/>
    <n v="92"/>
    <n v="69"/>
    <n v="93"/>
    <n v="99"/>
    <n v="77.400000000000006"/>
    <x v="1"/>
    <s v="B"/>
    <x v="2"/>
    <s v="GOOD"/>
    <x v="1"/>
  </r>
  <r>
    <x v="178"/>
    <x v="1"/>
    <x v="0"/>
    <x v="3"/>
    <x v="0"/>
    <x v="7"/>
    <n v="4.2"/>
    <n v="98"/>
    <n v="39"/>
    <n v="90"/>
    <n v="74"/>
    <n v="60"/>
    <n v="56"/>
    <n v="51"/>
    <n v="66.2"/>
    <x v="0"/>
    <s v="B"/>
    <x v="0"/>
    <s v="GOOD"/>
    <x v="0"/>
  </r>
  <r>
    <x v="179"/>
    <x v="0"/>
    <x v="2"/>
    <x v="0"/>
    <x v="1"/>
    <x v="4"/>
    <n v="5.5"/>
    <n v="58"/>
    <n v="35"/>
    <n v="29"/>
    <n v="54"/>
    <n v="87"/>
    <n v="64"/>
    <n v="48"/>
    <n v="56.399999999999991"/>
    <x v="1"/>
    <s v="C"/>
    <x v="2"/>
    <s v="AVERAGE"/>
    <x v="1"/>
  </r>
  <r>
    <x v="180"/>
    <x v="0"/>
    <x v="2"/>
    <x v="1"/>
    <x v="0"/>
    <x v="30"/>
    <n v="2.9"/>
    <n v="91"/>
    <n v="28"/>
    <n v="83"/>
    <n v="80"/>
    <n v="43"/>
    <n v="62"/>
    <n v="84"/>
    <n v="70.399999999999991"/>
    <x v="0"/>
    <s v="B"/>
    <x v="0"/>
    <s v="GOOD"/>
    <x v="0"/>
  </r>
  <r>
    <x v="181"/>
    <x v="1"/>
    <x v="3"/>
    <x v="0"/>
    <x v="0"/>
    <x v="6"/>
    <n v="2.2999999999999998"/>
    <n v="95"/>
    <n v="37"/>
    <n v="49"/>
    <n v="65"/>
    <n v="86"/>
    <n v="55"/>
    <n v="96"/>
    <n v="70.199999999999989"/>
    <x v="0"/>
    <s v="B"/>
    <x v="0"/>
    <s v="GOOD"/>
    <x v="0"/>
  </r>
  <r>
    <x v="182"/>
    <x v="1"/>
    <x v="2"/>
    <x v="1"/>
    <x v="1"/>
    <x v="46"/>
    <n v="4.4000000000000004"/>
    <n v="64"/>
    <n v="28"/>
    <n v="33"/>
    <n v="93"/>
    <n v="94"/>
    <n v="97"/>
    <n v="72"/>
    <n v="77.8"/>
    <x v="1"/>
    <s v="B"/>
    <x v="2"/>
    <s v="GOOD"/>
    <x v="1"/>
  </r>
  <r>
    <x v="183"/>
    <x v="1"/>
    <x v="0"/>
    <x v="2"/>
    <x v="0"/>
    <x v="20"/>
    <n v="3"/>
    <n v="61"/>
    <n v="40"/>
    <n v="35"/>
    <n v="27"/>
    <n v="40"/>
    <n v="83"/>
    <n v="98"/>
    <n v="56.599999999999994"/>
    <x v="1"/>
    <s v="C"/>
    <x v="1"/>
    <s v="AVERAGE"/>
    <x v="1"/>
  </r>
  <r>
    <x v="184"/>
    <x v="1"/>
    <x v="0"/>
    <x v="0"/>
    <x v="0"/>
    <x v="51"/>
    <n v="1.9"/>
    <n v="68"/>
    <n v="41"/>
    <n v="62"/>
    <n v="42"/>
    <n v="80"/>
    <n v="75"/>
    <n v="64"/>
    <n v="64.600000000000009"/>
    <x v="0"/>
    <s v="B"/>
    <x v="0"/>
    <s v="GOOD"/>
    <x v="0"/>
  </r>
  <r>
    <x v="185"/>
    <x v="0"/>
    <x v="3"/>
    <x v="0"/>
    <x v="0"/>
    <x v="2"/>
    <n v="1.3"/>
    <n v="92"/>
    <n v="35"/>
    <n v="10"/>
    <n v="19"/>
    <n v="51"/>
    <n v="74"/>
    <n v="92"/>
    <n v="49.2"/>
    <x v="1"/>
    <s v="D"/>
    <x v="1"/>
    <s v="AVERAGE"/>
    <x v="1"/>
  </r>
  <r>
    <x v="186"/>
    <x v="1"/>
    <x v="0"/>
    <x v="2"/>
    <x v="0"/>
    <x v="10"/>
    <n v="3.2"/>
    <n v="59"/>
    <n v="26"/>
    <n v="29"/>
    <n v="57"/>
    <n v="60"/>
    <n v="81"/>
    <n v="36"/>
    <n v="52.6"/>
    <x v="1"/>
    <s v="C"/>
    <x v="1"/>
    <s v="AVERAGE"/>
    <x v="1"/>
  </r>
  <r>
    <x v="187"/>
    <x v="1"/>
    <x v="3"/>
    <x v="3"/>
    <x v="0"/>
    <x v="27"/>
    <n v="3.3"/>
    <n v="89"/>
    <n v="31"/>
    <n v="83"/>
    <n v="69"/>
    <n v="78"/>
    <n v="90"/>
    <n v="65"/>
    <n v="77"/>
    <x v="0"/>
    <s v="B"/>
    <x v="0"/>
    <s v="GOOD"/>
    <x v="0"/>
  </r>
  <r>
    <x v="188"/>
    <x v="0"/>
    <x v="2"/>
    <x v="2"/>
    <x v="0"/>
    <x v="58"/>
    <n v="1.1000000000000001"/>
    <n v="52"/>
    <n v="47"/>
    <n v="24"/>
    <n v="93"/>
    <n v="42"/>
    <n v="97"/>
    <n v="42"/>
    <n v="59.599999999999994"/>
    <x v="1"/>
    <s v="C"/>
    <x v="2"/>
    <s v="AVERAGE"/>
    <x v="1"/>
  </r>
  <r>
    <x v="189"/>
    <x v="0"/>
    <x v="1"/>
    <x v="0"/>
    <x v="1"/>
    <x v="7"/>
    <n v="2.9"/>
    <n v="83"/>
    <n v="22"/>
    <n v="32"/>
    <n v="63"/>
    <n v="58"/>
    <n v="87"/>
    <n v="37"/>
    <n v="55.400000000000006"/>
    <x v="1"/>
    <s v="C"/>
    <x v="1"/>
    <s v="AVERAGE"/>
    <x v="1"/>
  </r>
  <r>
    <x v="190"/>
    <x v="1"/>
    <x v="0"/>
    <x v="2"/>
    <x v="0"/>
    <x v="25"/>
    <n v="1.5"/>
    <n v="82"/>
    <n v="29"/>
    <n v="68"/>
    <n v="19"/>
    <n v="85"/>
    <n v="74"/>
    <n v="95"/>
    <n v="68.2"/>
    <x v="1"/>
    <s v="B"/>
    <x v="2"/>
    <s v="GOOD"/>
    <x v="1"/>
  </r>
  <r>
    <x v="191"/>
    <x v="1"/>
    <x v="1"/>
    <x v="2"/>
    <x v="1"/>
    <x v="47"/>
    <n v="2"/>
    <n v="52"/>
    <n v="31"/>
    <n v="43"/>
    <n v="81"/>
    <n v="68"/>
    <n v="78"/>
    <n v="67"/>
    <n v="67.400000000000006"/>
    <x v="0"/>
    <s v="B"/>
    <x v="0"/>
    <s v="GOOD"/>
    <x v="0"/>
  </r>
  <r>
    <x v="192"/>
    <x v="0"/>
    <x v="3"/>
    <x v="0"/>
    <x v="1"/>
    <x v="28"/>
    <n v="4.2"/>
    <n v="95"/>
    <n v="24"/>
    <n v="20"/>
    <n v="47"/>
    <n v="58"/>
    <n v="65"/>
    <n v="96"/>
    <n v="57.199999999999996"/>
    <x v="1"/>
    <s v="C"/>
    <x v="2"/>
    <s v="AVERAGE"/>
    <x v="1"/>
  </r>
  <r>
    <x v="193"/>
    <x v="1"/>
    <x v="2"/>
    <x v="0"/>
    <x v="1"/>
    <x v="27"/>
    <n v="4.7"/>
    <n v="94"/>
    <n v="38"/>
    <n v="66"/>
    <n v="91"/>
    <n v="46"/>
    <n v="94"/>
    <n v="89"/>
    <n v="77.2"/>
    <x v="0"/>
    <s v="B"/>
    <x v="0"/>
    <s v="GOOD"/>
    <x v="0"/>
  </r>
  <r>
    <x v="194"/>
    <x v="1"/>
    <x v="3"/>
    <x v="0"/>
    <x v="1"/>
    <x v="25"/>
    <n v="4.4000000000000004"/>
    <n v="76"/>
    <n v="46"/>
    <n v="45"/>
    <n v="58"/>
    <n v="35"/>
    <n v="64"/>
    <n v="83"/>
    <n v="56.999999999999993"/>
    <x v="1"/>
    <s v="C"/>
    <x v="2"/>
    <s v="AVERAGE"/>
    <x v="1"/>
  </r>
  <r>
    <x v="195"/>
    <x v="1"/>
    <x v="2"/>
    <x v="2"/>
    <x v="1"/>
    <x v="21"/>
    <n v="5.6"/>
    <n v="88"/>
    <n v="35"/>
    <n v="56"/>
    <n v="15"/>
    <n v="24"/>
    <n v="64"/>
    <n v="60"/>
    <n v="43.8"/>
    <x v="1"/>
    <s v="D"/>
    <x v="1"/>
    <s v="AVERAGE"/>
    <x v="1"/>
  </r>
  <r>
    <x v="196"/>
    <x v="1"/>
    <x v="0"/>
    <x v="0"/>
    <x v="1"/>
    <x v="12"/>
    <n v="2.2999999999999998"/>
    <n v="94"/>
    <n v="29"/>
    <n v="68"/>
    <n v="10"/>
    <n v="80"/>
    <n v="81"/>
    <n v="96"/>
    <n v="67"/>
    <x v="1"/>
    <s v="B"/>
    <x v="2"/>
    <s v="GOOD"/>
    <x v="1"/>
  </r>
  <r>
    <x v="197"/>
    <x v="0"/>
    <x v="0"/>
    <x v="2"/>
    <x v="0"/>
    <x v="46"/>
    <n v="4.2"/>
    <n v="70"/>
    <n v="45"/>
    <n v="33"/>
    <n v="70"/>
    <n v="42"/>
    <n v="84"/>
    <n v="48"/>
    <n v="55.400000000000006"/>
    <x v="1"/>
    <s v="C"/>
    <x v="2"/>
    <s v="AVERAGE"/>
    <x v="1"/>
  </r>
  <r>
    <x v="198"/>
    <x v="1"/>
    <x v="3"/>
    <x v="2"/>
    <x v="0"/>
    <x v="1"/>
    <n v="5.3"/>
    <n v="52"/>
    <n v="23"/>
    <n v="21"/>
    <n v="35"/>
    <n v="59"/>
    <n v="68"/>
    <n v="49"/>
    <n v="46.400000000000006"/>
    <x v="1"/>
    <s v="D"/>
    <x v="1"/>
    <s v="AVERAGE"/>
    <x v="1"/>
  </r>
  <r>
    <x v="199"/>
    <x v="1"/>
    <x v="3"/>
    <x v="0"/>
    <x v="0"/>
    <x v="12"/>
    <n v="3.8"/>
    <n v="85"/>
    <n v="49"/>
    <n v="53"/>
    <n v="62"/>
    <n v="80"/>
    <n v="96"/>
    <n v="38"/>
    <n v="65.8"/>
    <x v="1"/>
    <s v="B"/>
    <x v="2"/>
    <s v="GOOD"/>
    <x v="1"/>
  </r>
  <r>
    <x v="200"/>
    <x v="0"/>
    <x v="3"/>
    <x v="1"/>
    <x v="1"/>
    <x v="3"/>
    <n v="3.3"/>
    <n v="71"/>
    <n v="18"/>
    <n v="55"/>
    <n v="11"/>
    <n v="49"/>
    <n v="85"/>
    <n v="73"/>
    <n v="54.6"/>
    <x v="1"/>
    <s v="C"/>
    <x v="2"/>
    <s v="AVERAGE"/>
    <x v="1"/>
  </r>
  <r>
    <x v="201"/>
    <x v="1"/>
    <x v="3"/>
    <x v="2"/>
    <x v="1"/>
    <x v="59"/>
    <n v="5.8"/>
    <n v="66"/>
    <n v="23"/>
    <n v="57"/>
    <n v="91"/>
    <n v="92"/>
    <n v="91"/>
    <n v="100"/>
    <n v="86.2"/>
    <x v="0"/>
    <s v="A"/>
    <x v="0"/>
    <s v="EXCELLENT"/>
    <x v="0"/>
  </r>
  <r>
    <x v="202"/>
    <x v="1"/>
    <x v="2"/>
    <x v="0"/>
    <x v="1"/>
    <x v="12"/>
    <n v="2.6"/>
    <n v="86"/>
    <n v="47"/>
    <n v="46"/>
    <n v="94"/>
    <n v="56"/>
    <n v="87"/>
    <n v="56"/>
    <n v="67.800000000000011"/>
    <x v="0"/>
    <s v="B"/>
    <x v="0"/>
    <s v="GOOD"/>
    <x v="0"/>
  </r>
  <r>
    <x v="203"/>
    <x v="0"/>
    <x v="2"/>
    <x v="0"/>
    <x v="0"/>
    <x v="13"/>
    <n v="4.4000000000000004"/>
    <n v="70"/>
    <n v="30"/>
    <n v="48"/>
    <n v="75"/>
    <n v="78"/>
    <n v="71"/>
    <n v="96"/>
    <n v="73.599999999999994"/>
    <x v="0"/>
    <s v="B"/>
    <x v="0"/>
    <s v="GOOD"/>
    <x v="0"/>
  </r>
  <r>
    <x v="204"/>
    <x v="1"/>
    <x v="2"/>
    <x v="2"/>
    <x v="1"/>
    <x v="21"/>
    <n v="3.6"/>
    <n v="81"/>
    <n v="22"/>
    <n v="36"/>
    <n v="65"/>
    <n v="64"/>
    <n v="94"/>
    <n v="55"/>
    <n v="62.8"/>
    <x v="1"/>
    <s v="B"/>
    <x v="2"/>
    <s v="GOOD"/>
    <x v="1"/>
  </r>
  <r>
    <x v="205"/>
    <x v="0"/>
    <x v="0"/>
    <x v="0"/>
    <x v="1"/>
    <x v="41"/>
    <n v="4.4000000000000004"/>
    <n v="50"/>
    <n v="39"/>
    <n v="65"/>
    <n v="67"/>
    <n v="41"/>
    <n v="98"/>
    <n v="31"/>
    <n v="60.4"/>
    <x v="1"/>
    <s v="B"/>
    <x v="2"/>
    <s v="GOOD"/>
    <x v="1"/>
  </r>
  <r>
    <x v="206"/>
    <x v="1"/>
    <x v="1"/>
    <x v="0"/>
    <x v="1"/>
    <x v="38"/>
    <n v="2.1"/>
    <n v="89"/>
    <n v="36"/>
    <n v="45"/>
    <n v="24"/>
    <n v="30"/>
    <n v="65"/>
    <n v="58"/>
    <n v="44.4"/>
    <x v="1"/>
    <s v="D"/>
    <x v="1"/>
    <s v="AVERAGE"/>
    <x v="1"/>
  </r>
  <r>
    <x v="207"/>
    <x v="1"/>
    <x v="2"/>
    <x v="1"/>
    <x v="0"/>
    <x v="28"/>
    <n v="5.2"/>
    <n v="94"/>
    <n v="47"/>
    <n v="43"/>
    <n v="82"/>
    <n v="63"/>
    <n v="78"/>
    <n v="74"/>
    <n v="68"/>
    <x v="0"/>
    <s v="B"/>
    <x v="0"/>
    <s v="GOOD"/>
    <x v="0"/>
  </r>
  <r>
    <x v="208"/>
    <x v="0"/>
    <x v="2"/>
    <x v="2"/>
    <x v="1"/>
    <x v="21"/>
    <n v="5.3"/>
    <n v="98"/>
    <n v="42"/>
    <n v="19"/>
    <n v="73"/>
    <n v="70"/>
    <n v="58"/>
    <n v="96"/>
    <n v="63.2"/>
    <x v="1"/>
    <s v="B"/>
    <x v="2"/>
    <s v="GOOD"/>
    <x v="1"/>
  </r>
  <r>
    <x v="209"/>
    <x v="0"/>
    <x v="1"/>
    <x v="2"/>
    <x v="1"/>
    <x v="17"/>
    <n v="2.2000000000000002"/>
    <n v="92"/>
    <n v="50"/>
    <n v="49"/>
    <n v="74"/>
    <n v="47"/>
    <n v="82"/>
    <n v="84"/>
    <n v="67.2"/>
    <x v="0"/>
    <s v="B"/>
    <x v="0"/>
    <s v="GOOD"/>
    <x v="0"/>
  </r>
  <r>
    <x v="210"/>
    <x v="1"/>
    <x v="2"/>
    <x v="0"/>
    <x v="1"/>
    <x v="32"/>
    <n v="5.8"/>
    <n v="89"/>
    <n v="20"/>
    <n v="62"/>
    <n v="22"/>
    <n v="67"/>
    <n v="50"/>
    <n v="77"/>
    <n v="55.600000000000009"/>
    <x v="1"/>
    <s v="C"/>
    <x v="2"/>
    <s v="AVERAGE"/>
    <x v="1"/>
  </r>
  <r>
    <x v="211"/>
    <x v="1"/>
    <x v="0"/>
    <x v="3"/>
    <x v="0"/>
    <x v="2"/>
    <n v="5"/>
    <n v="99"/>
    <n v="21"/>
    <n v="67"/>
    <n v="69"/>
    <n v="35"/>
    <n v="69"/>
    <n v="45"/>
    <n v="56.999999999999993"/>
    <x v="1"/>
    <s v="C"/>
    <x v="2"/>
    <s v="AVERAGE"/>
    <x v="1"/>
  </r>
  <r>
    <x v="212"/>
    <x v="1"/>
    <x v="1"/>
    <x v="3"/>
    <x v="1"/>
    <x v="13"/>
    <n v="1.7"/>
    <n v="56"/>
    <n v="24"/>
    <n v="72"/>
    <n v="12"/>
    <n v="67"/>
    <n v="65"/>
    <n v="59"/>
    <n v="55.000000000000007"/>
    <x v="1"/>
    <s v="C"/>
    <x v="2"/>
    <s v="AVERAGE"/>
    <x v="1"/>
  </r>
  <r>
    <x v="213"/>
    <x v="1"/>
    <x v="0"/>
    <x v="2"/>
    <x v="1"/>
    <x v="17"/>
    <n v="1.4"/>
    <n v="92"/>
    <n v="48"/>
    <n v="58"/>
    <n v="80"/>
    <n v="93"/>
    <n v="77"/>
    <n v="57"/>
    <n v="73"/>
    <x v="0"/>
    <s v="B"/>
    <x v="0"/>
    <s v="GOOD"/>
    <x v="0"/>
  </r>
  <r>
    <x v="214"/>
    <x v="0"/>
    <x v="2"/>
    <x v="2"/>
    <x v="0"/>
    <x v="45"/>
    <n v="3.2"/>
    <n v="54"/>
    <n v="44"/>
    <n v="75"/>
    <n v="40"/>
    <n v="41"/>
    <n v="72"/>
    <n v="96"/>
    <n v="64.8"/>
    <x v="0"/>
    <s v="B"/>
    <x v="0"/>
    <s v="GOOD"/>
    <x v="0"/>
  </r>
  <r>
    <x v="215"/>
    <x v="0"/>
    <x v="2"/>
    <x v="0"/>
    <x v="1"/>
    <x v="59"/>
    <n v="5.5"/>
    <n v="52"/>
    <n v="23"/>
    <n v="65"/>
    <n v="59"/>
    <n v="71"/>
    <n v="65"/>
    <n v="55"/>
    <n v="63"/>
    <x v="0"/>
    <s v="B"/>
    <x v="0"/>
    <s v="GOOD"/>
    <x v="0"/>
  </r>
  <r>
    <x v="216"/>
    <x v="1"/>
    <x v="2"/>
    <x v="1"/>
    <x v="0"/>
    <x v="11"/>
    <n v="4.7"/>
    <n v="54"/>
    <n v="30"/>
    <n v="38"/>
    <n v="80"/>
    <n v="66"/>
    <n v="97"/>
    <n v="67"/>
    <n v="69.599999999999994"/>
    <x v="1"/>
    <s v="B"/>
    <x v="2"/>
    <s v="GOOD"/>
    <x v="1"/>
  </r>
  <r>
    <x v="217"/>
    <x v="1"/>
    <x v="1"/>
    <x v="0"/>
    <x v="1"/>
    <x v="59"/>
    <n v="3.4"/>
    <n v="64"/>
    <n v="30"/>
    <n v="91"/>
    <n v="37"/>
    <n v="54"/>
    <n v="87"/>
    <n v="60"/>
    <n v="65.8"/>
    <x v="1"/>
    <s v="B"/>
    <x v="2"/>
    <s v="GOOD"/>
    <x v="1"/>
  </r>
  <r>
    <x v="218"/>
    <x v="0"/>
    <x v="3"/>
    <x v="1"/>
    <x v="1"/>
    <x v="35"/>
    <n v="2.1"/>
    <n v="66"/>
    <n v="44"/>
    <n v="42"/>
    <n v="43"/>
    <n v="33"/>
    <n v="74"/>
    <n v="95"/>
    <n v="57.4"/>
    <x v="1"/>
    <s v="C"/>
    <x v="2"/>
    <s v="AVERAGE"/>
    <x v="1"/>
  </r>
  <r>
    <x v="219"/>
    <x v="0"/>
    <x v="3"/>
    <x v="0"/>
    <x v="0"/>
    <x v="30"/>
    <n v="5.5"/>
    <n v="78"/>
    <n v="48"/>
    <n v="84"/>
    <n v="59"/>
    <n v="38"/>
    <n v="71"/>
    <n v="55"/>
    <n v="61.4"/>
    <x v="1"/>
    <s v="B"/>
    <x v="2"/>
    <s v="GOOD"/>
    <x v="1"/>
  </r>
  <r>
    <x v="220"/>
    <x v="1"/>
    <x v="3"/>
    <x v="1"/>
    <x v="0"/>
    <x v="12"/>
    <n v="5.0999999999999996"/>
    <n v="89"/>
    <n v="31"/>
    <n v="31"/>
    <n v="54"/>
    <n v="40"/>
    <n v="92"/>
    <n v="56"/>
    <n v="54.6"/>
    <x v="1"/>
    <s v="C"/>
    <x v="2"/>
    <s v="AVERAGE"/>
    <x v="1"/>
  </r>
  <r>
    <x v="221"/>
    <x v="0"/>
    <x v="1"/>
    <x v="2"/>
    <x v="0"/>
    <x v="6"/>
    <n v="4.8"/>
    <n v="91"/>
    <n v="28"/>
    <n v="73"/>
    <n v="51"/>
    <n v="32"/>
    <n v="68"/>
    <n v="73"/>
    <n v="59.4"/>
    <x v="1"/>
    <s v="C"/>
    <x v="2"/>
    <s v="AVERAGE"/>
    <x v="1"/>
  </r>
  <r>
    <x v="222"/>
    <x v="1"/>
    <x v="2"/>
    <x v="2"/>
    <x v="0"/>
    <x v="30"/>
    <n v="1.4"/>
    <n v="81"/>
    <n v="42"/>
    <n v="41"/>
    <n v="73"/>
    <n v="85"/>
    <n v="67"/>
    <n v="74"/>
    <n v="68"/>
    <x v="0"/>
    <s v="B"/>
    <x v="0"/>
    <s v="GOOD"/>
    <x v="0"/>
  </r>
  <r>
    <x v="223"/>
    <x v="1"/>
    <x v="0"/>
    <x v="3"/>
    <x v="0"/>
    <x v="32"/>
    <n v="3.1"/>
    <n v="99"/>
    <n v="50"/>
    <n v="25"/>
    <n v="78"/>
    <n v="61"/>
    <n v="76"/>
    <n v="48"/>
    <n v="57.599999999999994"/>
    <x v="1"/>
    <s v="C"/>
    <x v="2"/>
    <s v="AVERAGE"/>
    <x v="1"/>
  </r>
  <r>
    <x v="224"/>
    <x v="1"/>
    <x v="0"/>
    <x v="0"/>
    <x v="0"/>
    <x v="44"/>
    <n v="3.9"/>
    <n v="74"/>
    <n v="37"/>
    <n v="65"/>
    <n v="16"/>
    <n v="46"/>
    <n v="75"/>
    <n v="98"/>
    <n v="60"/>
    <x v="1"/>
    <s v="C"/>
    <x v="2"/>
    <s v="GOOD"/>
    <x v="1"/>
  </r>
  <r>
    <x v="225"/>
    <x v="0"/>
    <x v="0"/>
    <x v="1"/>
    <x v="1"/>
    <x v="2"/>
    <n v="1.5"/>
    <n v="91"/>
    <n v="36"/>
    <n v="75"/>
    <n v="94"/>
    <n v="68"/>
    <n v="78"/>
    <n v="89"/>
    <n v="80.800000000000011"/>
    <x v="0"/>
    <s v="A"/>
    <x v="0"/>
    <s v="EXCELLENT"/>
    <x v="0"/>
  </r>
  <r>
    <x v="226"/>
    <x v="0"/>
    <x v="1"/>
    <x v="2"/>
    <x v="1"/>
    <x v="20"/>
    <n v="2"/>
    <n v="59"/>
    <n v="18"/>
    <n v="34"/>
    <n v="67"/>
    <n v="49"/>
    <n v="69"/>
    <n v="36"/>
    <n v="51"/>
    <x v="1"/>
    <s v="C"/>
    <x v="1"/>
    <s v="AVERAGE"/>
    <x v="1"/>
  </r>
  <r>
    <x v="227"/>
    <x v="0"/>
    <x v="3"/>
    <x v="2"/>
    <x v="1"/>
    <x v="8"/>
    <n v="2.7"/>
    <n v="82"/>
    <n v="22"/>
    <n v="29"/>
    <n v="59"/>
    <n v="59"/>
    <n v="76"/>
    <n v="80"/>
    <n v="60.6"/>
    <x v="1"/>
    <s v="B"/>
    <x v="2"/>
    <s v="GOOD"/>
    <x v="1"/>
  </r>
  <r>
    <x v="228"/>
    <x v="0"/>
    <x v="3"/>
    <x v="0"/>
    <x v="0"/>
    <x v="24"/>
    <n v="2.2999999999999998"/>
    <n v="60"/>
    <n v="44"/>
    <n v="57"/>
    <n v="24"/>
    <n v="43"/>
    <n v="63"/>
    <n v="45"/>
    <n v="46.400000000000006"/>
    <x v="1"/>
    <s v="D"/>
    <x v="2"/>
    <s v="AVERAGE"/>
    <x v="1"/>
  </r>
  <r>
    <x v="229"/>
    <x v="0"/>
    <x v="0"/>
    <x v="2"/>
    <x v="1"/>
    <x v="37"/>
    <n v="2.2999999999999998"/>
    <n v="68"/>
    <n v="43"/>
    <n v="79"/>
    <n v="46"/>
    <n v="36"/>
    <n v="75"/>
    <n v="93"/>
    <n v="65.8"/>
    <x v="1"/>
    <s v="B"/>
    <x v="2"/>
    <s v="GOOD"/>
    <x v="1"/>
  </r>
  <r>
    <x v="230"/>
    <x v="1"/>
    <x v="2"/>
    <x v="1"/>
    <x v="1"/>
    <x v="12"/>
    <n v="2.2999999999999998"/>
    <n v="90"/>
    <n v="19"/>
    <n v="19"/>
    <n v="17"/>
    <n v="40"/>
    <n v="86"/>
    <n v="60"/>
    <n v="44.4"/>
    <x v="1"/>
    <s v="D"/>
    <x v="1"/>
    <s v="AVERAGE"/>
    <x v="1"/>
  </r>
  <r>
    <x v="231"/>
    <x v="0"/>
    <x v="1"/>
    <x v="1"/>
    <x v="0"/>
    <x v="36"/>
    <n v="5.3"/>
    <n v="51"/>
    <n v="41"/>
    <n v="55"/>
    <n v="35"/>
    <n v="68"/>
    <n v="75"/>
    <n v="82"/>
    <n v="63"/>
    <x v="1"/>
    <s v="B"/>
    <x v="2"/>
    <s v="GOOD"/>
    <x v="1"/>
  </r>
  <r>
    <x v="232"/>
    <x v="0"/>
    <x v="1"/>
    <x v="2"/>
    <x v="0"/>
    <x v="27"/>
    <n v="5.5"/>
    <n v="88"/>
    <n v="43"/>
    <n v="56"/>
    <n v="14"/>
    <n v="87"/>
    <n v="82"/>
    <n v="76"/>
    <n v="63"/>
    <x v="1"/>
    <s v="B"/>
    <x v="2"/>
    <s v="GOOD"/>
    <x v="1"/>
  </r>
  <r>
    <x v="233"/>
    <x v="1"/>
    <x v="0"/>
    <x v="0"/>
    <x v="1"/>
    <x v="44"/>
    <n v="3.2"/>
    <n v="95"/>
    <n v="47"/>
    <n v="49"/>
    <n v="21"/>
    <n v="81"/>
    <n v="71"/>
    <n v="31"/>
    <n v="50.6"/>
    <x v="1"/>
    <s v="C"/>
    <x v="1"/>
    <s v="AVERAGE"/>
    <x v="1"/>
  </r>
  <r>
    <x v="234"/>
    <x v="0"/>
    <x v="1"/>
    <x v="2"/>
    <x v="1"/>
    <x v="42"/>
    <n v="5.4"/>
    <n v="63"/>
    <n v="48"/>
    <n v="94"/>
    <n v="43"/>
    <n v="72"/>
    <n v="92"/>
    <n v="32"/>
    <n v="66.600000000000009"/>
    <x v="1"/>
    <s v="B"/>
    <x v="2"/>
    <s v="GOOD"/>
    <x v="1"/>
  </r>
  <r>
    <x v="235"/>
    <x v="1"/>
    <x v="1"/>
    <x v="2"/>
    <x v="0"/>
    <x v="59"/>
    <n v="5.5"/>
    <n v="52"/>
    <n v="26"/>
    <n v="27"/>
    <n v="42"/>
    <n v="67"/>
    <n v="90"/>
    <n v="33"/>
    <n v="51.800000000000004"/>
    <x v="1"/>
    <s v="C"/>
    <x v="1"/>
    <s v="AVERAGE"/>
    <x v="1"/>
  </r>
  <r>
    <x v="236"/>
    <x v="1"/>
    <x v="1"/>
    <x v="0"/>
    <x v="0"/>
    <x v="10"/>
    <n v="3"/>
    <n v="70"/>
    <n v="33"/>
    <n v="82"/>
    <n v="34"/>
    <n v="75"/>
    <n v="89"/>
    <n v="76"/>
    <n v="71.2"/>
    <x v="1"/>
    <s v="B"/>
    <x v="2"/>
    <s v="GOOD"/>
    <x v="1"/>
  </r>
  <r>
    <x v="237"/>
    <x v="0"/>
    <x v="1"/>
    <x v="3"/>
    <x v="0"/>
    <x v="29"/>
    <n v="5"/>
    <n v="51"/>
    <n v="27"/>
    <n v="28"/>
    <n v="10"/>
    <n v="69"/>
    <n v="91"/>
    <n v="96"/>
    <n v="58.8"/>
    <x v="1"/>
    <s v="C"/>
    <x v="1"/>
    <s v="AVERAGE"/>
    <x v="1"/>
  </r>
  <r>
    <x v="238"/>
    <x v="1"/>
    <x v="1"/>
    <x v="2"/>
    <x v="1"/>
    <x v="37"/>
    <n v="3.5"/>
    <n v="55"/>
    <n v="33"/>
    <n v="23"/>
    <n v="11"/>
    <n v="88"/>
    <n v="62"/>
    <n v="96"/>
    <n v="56.000000000000007"/>
    <x v="1"/>
    <s v="C"/>
    <x v="1"/>
    <s v="AVERAGE"/>
    <x v="1"/>
  </r>
  <r>
    <x v="239"/>
    <x v="0"/>
    <x v="3"/>
    <x v="0"/>
    <x v="1"/>
    <x v="24"/>
    <n v="1.1000000000000001"/>
    <n v="64"/>
    <n v="25"/>
    <n v="43"/>
    <n v="11"/>
    <n v="93"/>
    <n v="90"/>
    <n v="88"/>
    <n v="65"/>
    <x v="1"/>
    <s v="B"/>
    <x v="2"/>
    <s v="GOOD"/>
    <x v="1"/>
  </r>
  <r>
    <x v="240"/>
    <x v="1"/>
    <x v="1"/>
    <x v="3"/>
    <x v="0"/>
    <x v="42"/>
    <n v="4.0999999999999996"/>
    <n v="79"/>
    <n v="41"/>
    <n v="18"/>
    <n v="37"/>
    <n v="20"/>
    <n v="62"/>
    <n v="88"/>
    <n v="45"/>
    <x v="1"/>
    <s v="D"/>
    <x v="3"/>
    <s v="AVERAGE"/>
    <x v="1"/>
  </r>
  <r>
    <x v="241"/>
    <x v="0"/>
    <x v="3"/>
    <x v="2"/>
    <x v="0"/>
    <x v="17"/>
    <n v="2.8"/>
    <n v="87"/>
    <n v="41"/>
    <n v="38"/>
    <n v="31"/>
    <n v="36"/>
    <n v="72"/>
    <n v="56"/>
    <n v="46.6"/>
    <x v="1"/>
    <s v="D"/>
    <x v="3"/>
    <s v="AVERAGE"/>
    <x v="1"/>
  </r>
  <r>
    <x v="242"/>
    <x v="0"/>
    <x v="1"/>
    <x v="2"/>
    <x v="0"/>
    <x v="32"/>
    <n v="2.9"/>
    <n v="80"/>
    <n v="26"/>
    <n v="14"/>
    <n v="82"/>
    <n v="57"/>
    <n v="78"/>
    <n v="80"/>
    <n v="62.2"/>
    <x v="1"/>
    <s v="B"/>
    <x v="2"/>
    <s v="GOOD"/>
    <x v="1"/>
  </r>
  <r>
    <x v="243"/>
    <x v="1"/>
    <x v="0"/>
    <x v="2"/>
    <x v="1"/>
    <x v="32"/>
    <n v="4.5"/>
    <n v="97"/>
    <n v="40"/>
    <n v="19"/>
    <n v="81"/>
    <n v="37"/>
    <n v="85"/>
    <n v="64"/>
    <n v="57.199999999999996"/>
    <x v="1"/>
    <s v="C"/>
    <x v="1"/>
    <s v="AVERAGE"/>
    <x v="1"/>
  </r>
  <r>
    <x v="244"/>
    <x v="0"/>
    <x v="0"/>
    <x v="1"/>
    <x v="0"/>
    <x v="14"/>
    <n v="4.7"/>
    <n v="57"/>
    <n v="19"/>
    <n v="12"/>
    <n v="89"/>
    <n v="23"/>
    <n v="60"/>
    <n v="63"/>
    <n v="49.4"/>
    <x v="1"/>
    <s v="D"/>
    <x v="1"/>
    <s v="AVERAGE"/>
    <x v="1"/>
  </r>
  <r>
    <x v="245"/>
    <x v="0"/>
    <x v="2"/>
    <x v="0"/>
    <x v="0"/>
    <x v="54"/>
    <n v="3.8"/>
    <n v="70"/>
    <n v="27"/>
    <n v="49"/>
    <n v="89"/>
    <n v="49"/>
    <n v="75"/>
    <n v="77"/>
    <n v="67.800000000000011"/>
    <x v="0"/>
    <s v="B"/>
    <x v="0"/>
    <s v="GOOD"/>
    <x v="0"/>
  </r>
  <r>
    <x v="246"/>
    <x v="1"/>
    <x v="2"/>
    <x v="0"/>
    <x v="0"/>
    <x v="42"/>
    <n v="4.0999999999999996"/>
    <n v="84"/>
    <n v="29"/>
    <n v="22"/>
    <n v="95"/>
    <n v="51"/>
    <n v="65"/>
    <n v="73"/>
    <n v="61.199999999999996"/>
    <x v="1"/>
    <s v="B"/>
    <x v="2"/>
    <s v="GOOD"/>
    <x v="1"/>
  </r>
  <r>
    <x v="247"/>
    <x v="0"/>
    <x v="0"/>
    <x v="3"/>
    <x v="1"/>
    <x v="57"/>
    <n v="4"/>
    <n v="100"/>
    <n v="18"/>
    <n v="71"/>
    <n v="58"/>
    <n v="81"/>
    <n v="98"/>
    <n v="97"/>
    <n v="81"/>
    <x v="0"/>
    <s v="A"/>
    <x v="0"/>
    <s v="EXCELLENT"/>
    <x v="0"/>
  </r>
  <r>
    <x v="248"/>
    <x v="0"/>
    <x v="2"/>
    <x v="3"/>
    <x v="1"/>
    <x v="40"/>
    <n v="2.5"/>
    <n v="64"/>
    <n v="26"/>
    <n v="17"/>
    <n v="71"/>
    <n v="93"/>
    <n v="65"/>
    <n v="44"/>
    <n v="57.999999999999993"/>
    <x v="1"/>
    <s v="C"/>
    <x v="2"/>
    <s v="AVERAGE"/>
    <x v="1"/>
  </r>
  <r>
    <x v="249"/>
    <x v="0"/>
    <x v="2"/>
    <x v="3"/>
    <x v="1"/>
    <x v="21"/>
    <n v="1.8"/>
    <n v="91"/>
    <n v="22"/>
    <n v="47"/>
    <n v="28"/>
    <n v="84"/>
    <n v="72"/>
    <n v="100"/>
    <n v="66.2"/>
    <x v="1"/>
    <s v="B"/>
    <x v="2"/>
    <s v="GOOD"/>
    <x v="1"/>
  </r>
  <r>
    <x v="250"/>
    <x v="0"/>
    <x v="2"/>
    <x v="3"/>
    <x v="0"/>
    <x v="46"/>
    <n v="1.3"/>
    <n v="64"/>
    <n v="33"/>
    <n v="82"/>
    <n v="28"/>
    <n v="47"/>
    <n v="89"/>
    <n v="37"/>
    <n v="56.599999999999994"/>
    <x v="1"/>
    <s v="C"/>
    <x v="1"/>
    <s v="AVERAGE"/>
    <x v="1"/>
  </r>
  <r>
    <x v="251"/>
    <x v="0"/>
    <x v="0"/>
    <x v="2"/>
    <x v="0"/>
    <x v="17"/>
    <n v="5.2"/>
    <n v="81"/>
    <n v="23"/>
    <n v="83"/>
    <n v="34"/>
    <n v="66"/>
    <n v="87"/>
    <n v="71"/>
    <n v="68.2"/>
    <x v="1"/>
    <s v="B"/>
    <x v="2"/>
    <s v="GOOD"/>
    <x v="1"/>
  </r>
  <r>
    <x v="252"/>
    <x v="1"/>
    <x v="0"/>
    <x v="0"/>
    <x v="1"/>
    <x v="40"/>
    <n v="1.5"/>
    <n v="56"/>
    <n v="26"/>
    <n v="62"/>
    <n v="25"/>
    <n v="91"/>
    <n v="94"/>
    <n v="48"/>
    <n v="64"/>
    <x v="1"/>
    <s v="B"/>
    <x v="2"/>
    <s v="GOOD"/>
    <x v="1"/>
  </r>
  <r>
    <x v="253"/>
    <x v="0"/>
    <x v="3"/>
    <x v="3"/>
    <x v="1"/>
    <x v="42"/>
    <n v="1.7"/>
    <n v="94"/>
    <n v="39"/>
    <n v="76"/>
    <n v="27"/>
    <n v="60"/>
    <n v="91"/>
    <n v="96"/>
    <n v="70"/>
    <x v="1"/>
    <s v="B"/>
    <x v="2"/>
    <s v="GOOD"/>
    <x v="1"/>
  </r>
  <r>
    <x v="254"/>
    <x v="1"/>
    <x v="2"/>
    <x v="3"/>
    <x v="1"/>
    <x v="27"/>
    <n v="1.3"/>
    <n v="96"/>
    <n v="45"/>
    <n v="20"/>
    <n v="21"/>
    <n v="92"/>
    <n v="83"/>
    <n v="48"/>
    <n v="52.800000000000004"/>
    <x v="1"/>
    <s v="C"/>
    <x v="1"/>
    <s v="AVERAGE"/>
    <x v="1"/>
  </r>
  <r>
    <x v="255"/>
    <x v="0"/>
    <x v="2"/>
    <x v="1"/>
    <x v="1"/>
    <x v="32"/>
    <n v="1.1000000000000001"/>
    <n v="83"/>
    <n v="24"/>
    <n v="68"/>
    <n v="62"/>
    <n v="67"/>
    <n v="62"/>
    <n v="66"/>
    <n v="65"/>
    <x v="0"/>
    <s v="B"/>
    <x v="0"/>
    <s v="GOOD"/>
    <x v="0"/>
  </r>
  <r>
    <x v="256"/>
    <x v="1"/>
    <x v="1"/>
    <x v="2"/>
    <x v="1"/>
    <x v="60"/>
    <n v="5.0999999999999996"/>
    <n v="50"/>
    <n v="44"/>
    <n v="81"/>
    <n v="81"/>
    <n v="55"/>
    <n v="78"/>
    <n v="35"/>
    <n v="66"/>
    <x v="1"/>
    <s v="B"/>
    <x v="2"/>
    <s v="GOOD"/>
    <x v="1"/>
  </r>
  <r>
    <x v="257"/>
    <x v="1"/>
    <x v="1"/>
    <x v="1"/>
    <x v="0"/>
    <x v="17"/>
    <n v="5.3"/>
    <n v="89"/>
    <n v="47"/>
    <n v="63"/>
    <n v="95"/>
    <n v="94"/>
    <n v="79"/>
    <n v="89"/>
    <n v="84"/>
    <x v="0"/>
    <s v="A"/>
    <x v="0"/>
    <s v="EXCELLENT"/>
    <x v="0"/>
  </r>
  <r>
    <x v="258"/>
    <x v="1"/>
    <x v="0"/>
    <x v="3"/>
    <x v="0"/>
    <x v="12"/>
    <n v="4.3"/>
    <n v="91"/>
    <n v="34"/>
    <n v="19"/>
    <n v="82"/>
    <n v="57"/>
    <n v="71"/>
    <n v="93"/>
    <n v="64.400000000000006"/>
    <x v="1"/>
    <s v="B"/>
    <x v="2"/>
    <s v="GOOD"/>
    <x v="1"/>
  </r>
  <r>
    <x v="259"/>
    <x v="1"/>
    <x v="2"/>
    <x v="3"/>
    <x v="1"/>
    <x v="28"/>
    <n v="3.7"/>
    <n v="99"/>
    <n v="20"/>
    <n v="20"/>
    <n v="59"/>
    <n v="62"/>
    <n v="94"/>
    <n v="57"/>
    <n v="58.4"/>
    <x v="1"/>
    <s v="C"/>
    <x v="2"/>
    <s v="AVERAGE"/>
    <x v="1"/>
  </r>
  <r>
    <x v="260"/>
    <x v="0"/>
    <x v="2"/>
    <x v="1"/>
    <x v="1"/>
    <x v="28"/>
    <n v="4.9000000000000004"/>
    <n v="75"/>
    <n v="33"/>
    <n v="30"/>
    <n v="15"/>
    <n v="40"/>
    <n v="68"/>
    <n v="74"/>
    <n v="45.4"/>
    <x v="1"/>
    <s v="D"/>
    <x v="1"/>
    <s v="AVERAGE"/>
    <x v="1"/>
  </r>
  <r>
    <x v="261"/>
    <x v="0"/>
    <x v="1"/>
    <x v="1"/>
    <x v="0"/>
    <x v="28"/>
    <n v="5.2"/>
    <n v="78"/>
    <n v="21"/>
    <n v="33"/>
    <n v="57"/>
    <n v="43"/>
    <n v="84"/>
    <n v="63"/>
    <n v="56.000000000000007"/>
    <x v="1"/>
    <s v="C"/>
    <x v="2"/>
    <s v="AVERAGE"/>
    <x v="1"/>
  </r>
  <r>
    <x v="262"/>
    <x v="0"/>
    <x v="1"/>
    <x v="2"/>
    <x v="1"/>
    <x v="10"/>
    <n v="2.2000000000000002"/>
    <n v="57"/>
    <n v="44"/>
    <n v="20"/>
    <n v="48"/>
    <n v="42"/>
    <n v="50"/>
    <n v="89"/>
    <n v="49.8"/>
    <x v="1"/>
    <s v="D"/>
    <x v="2"/>
    <s v="AVERAGE"/>
    <x v="1"/>
  </r>
  <r>
    <x v="263"/>
    <x v="0"/>
    <x v="0"/>
    <x v="0"/>
    <x v="1"/>
    <x v="40"/>
    <n v="2.5"/>
    <n v="67"/>
    <n v="45"/>
    <n v="24"/>
    <n v="79"/>
    <n v="25"/>
    <n v="52"/>
    <n v="51"/>
    <n v="46.2"/>
    <x v="1"/>
    <s v="D"/>
    <x v="1"/>
    <s v="AVERAGE"/>
    <x v="1"/>
  </r>
  <r>
    <x v="264"/>
    <x v="1"/>
    <x v="2"/>
    <x v="0"/>
    <x v="0"/>
    <x v="21"/>
    <n v="4.5999999999999996"/>
    <n v="87"/>
    <n v="21"/>
    <n v="45"/>
    <n v="29"/>
    <n v="29"/>
    <n v="82"/>
    <n v="33"/>
    <n v="43.6"/>
    <x v="1"/>
    <s v="D"/>
    <x v="3"/>
    <s v="AVERAGE"/>
    <x v="1"/>
  </r>
  <r>
    <x v="265"/>
    <x v="0"/>
    <x v="0"/>
    <x v="1"/>
    <x v="1"/>
    <x v="8"/>
    <n v="1.4"/>
    <n v="94"/>
    <n v="29"/>
    <n v="79"/>
    <n v="33"/>
    <n v="47"/>
    <n v="64"/>
    <n v="58"/>
    <n v="56.2"/>
    <x v="1"/>
    <s v="C"/>
    <x v="2"/>
    <s v="AVERAGE"/>
    <x v="1"/>
  </r>
  <r>
    <x v="266"/>
    <x v="1"/>
    <x v="2"/>
    <x v="1"/>
    <x v="0"/>
    <x v="40"/>
    <n v="3.7"/>
    <n v="61"/>
    <n v="40"/>
    <n v="40"/>
    <n v="28"/>
    <n v="59"/>
    <n v="60"/>
    <n v="50"/>
    <n v="47.4"/>
    <x v="1"/>
    <s v="D"/>
    <x v="2"/>
    <s v="AVERAGE"/>
    <x v="1"/>
  </r>
  <r>
    <x v="267"/>
    <x v="0"/>
    <x v="0"/>
    <x v="2"/>
    <x v="1"/>
    <x v="20"/>
    <n v="4.4000000000000004"/>
    <n v="56"/>
    <n v="50"/>
    <n v="82"/>
    <n v="60"/>
    <n v="92"/>
    <n v="51"/>
    <n v="66"/>
    <n v="70.199999999999989"/>
    <x v="0"/>
    <s v="B"/>
    <x v="0"/>
    <s v="GOOD"/>
    <x v="0"/>
  </r>
  <r>
    <x v="268"/>
    <x v="0"/>
    <x v="1"/>
    <x v="0"/>
    <x v="0"/>
    <x v="35"/>
    <n v="1.8"/>
    <n v="65"/>
    <n v="41"/>
    <n v="79"/>
    <n v="91"/>
    <n v="28"/>
    <n v="62"/>
    <n v="76"/>
    <n v="67.2"/>
    <x v="1"/>
    <s v="B"/>
    <x v="2"/>
    <s v="GOOD"/>
    <x v="1"/>
  </r>
  <r>
    <x v="269"/>
    <x v="0"/>
    <x v="1"/>
    <x v="1"/>
    <x v="1"/>
    <x v="34"/>
    <n v="2.6"/>
    <n v="62"/>
    <n v="26"/>
    <n v="38"/>
    <n v="22"/>
    <n v="36"/>
    <n v="71"/>
    <n v="39"/>
    <n v="41.199999999999996"/>
    <x v="1"/>
    <s v="D"/>
    <x v="4"/>
    <s v="AVERAGE"/>
    <x v="1"/>
  </r>
  <r>
    <x v="270"/>
    <x v="1"/>
    <x v="0"/>
    <x v="3"/>
    <x v="0"/>
    <x v="2"/>
    <n v="1.9"/>
    <n v="93"/>
    <n v="23"/>
    <n v="17"/>
    <n v="32"/>
    <n v="65"/>
    <n v="89"/>
    <n v="33"/>
    <n v="47.199999999999996"/>
    <x v="1"/>
    <s v="D"/>
    <x v="3"/>
    <s v="AVERAGE"/>
    <x v="1"/>
  </r>
  <r>
    <x v="271"/>
    <x v="1"/>
    <x v="1"/>
    <x v="2"/>
    <x v="0"/>
    <x v="2"/>
    <n v="5.8"/>
    <n v="76"/>
    <n v="31"/>
    <n v="33"/>
    <n v="56"/>
    <n v="87"/>
    <n v="72"/>
    <n v="75"/>
    <n v="64.600000000000009"/>
    <x v="1"/>
    <s v="B"/>
    <x v="2"/>
    <s v="GOOD"/>
    <x v="1"/>
  </r>
  <r>
    <x v="272"/>
    <x v="1"/>
    <x v="0"/>
    <x v="3"/>
    <x v="1"/>
    <x v="26"/>
    <n v="5.2"/>
    <n v="85"/>
    <n v="49"/>
    <n v="21"/>
    <n v="29"/>
    <n v="54"/>
    <n v="50"/>
    <n v="80"/>
    <n v="46.800000000000004"/>
    <x v="1"/>
    <s v="D"/>
    <x v="1"/>
    <s v="AVERAGE"/>
    <x v="1"/>
  </r>
  <r>
    <x v="273"/>
    <x v="0"/>
    <x v="3"/>
    <x v="1"/>
    <x v="1"/>
    <x v="17"/>
    <n v="3.9"/>
    <n v="91"/>
    <n v="36"/>
    <n v="59"/>
    <n v="92"/>
    <n v="83"/>
    <n v="75"/>
    <n v="92"/>
    <n v="80.2"/>
    <x v="0"/>
    <s v="A"/>
    <x v="0"/>
    <s v="EXCELLENT"/>
    <x v="0"/>
  </r>
  <r>
    <x v="274"/>
    <x v="1"/>
    <x v="1"/>
    <x v="0"/>
    <x v="0"/>
    <x v="2"/>
    <n v="4"/>
    <n v="89"/>
    <n v="24"/>
    <n v="71"/>
    <n v="76"/>
    <n v="97"/>
    <n v="54"/>
    <n v="44"/>
    <n v="68.400000000000006"/>
    <x v="0"/>
    <s v="B"/>
    <x v="0"/>
    <s v="GOOD"/>
    <x v="0"/>
  </r>
  <r>
    <x v="275"/>
    <x v="0"/>
    <x v="0"/>
    <x v="2"/>
    <x v="0"/>
    <x v="31"/>
    <n v="3.9"/>
    <n v="64"/>
    <n v="45"/>
    <n v="88"/>
    <n v="92"/>
    <n v="53"/>
    <n v="53"/>
    <n v="55"/>
    <n v="68.2"/>
    <x v="0"/>
    <s v="B"/>
    <x v="0"/>
    <s v="GOOD"/>
    <x v="0"/>
  </r>
  <r>
    <x v="276"/>
    <x v="1"/>
    <x v="1"/>
    <x v="2"/>
    <x v="0"/>
    <x v="17"/>
    <n v="2.4"/>
    <n v="100"/>
    <n v="46"/>
    <n v="36"/>
    <n v="71"/>
    <n v="48"/>
    <n v="50"/>
    <n v="92"/>
    <n v="59.4"/>
    <x v="1"/>
    <s v="C"/>
    <x v="2"/>
    <s v="AVERAGE"/>
    <x v="1"/>
  </r>
  <r>
    <x v="277"/>
    <x v="1"/>
    <x v="0"/>
    <x v="1"/>
    <x v="1"/>
    <x v="50"/>
    <n v="2"/>
    <n v="57"/>
    <n v="37"/>
    <n v="26"/>
    <n v="94"/>
    <n v="29"/>
    <n v="92"/>
    <n v="64"/>
    <n v="61"/>
    <x v="1"/>
    <s v="B"/>
    <x v="1"/>
    <s v="GOOD"/>
    <x v="1"/>
  </r>
  <r>
    <x v="278"/>
    <x v="0"/>
    <x v="1"/>
    <x v="3"/>
    <x v="0"/>
    <x v="26"/>
    <n v="5"/>
    <n v="75"/>
    <n v="43"/>
    <n v="38"/>
    <n v="14"/>
    <n v="26"/>
    <n v="95"/>
    <n v="98"/>
    <n v="54.2"/>
    <x v="1"/>
    <s v="C"/>
    <x v="3"/>
    <s v="AVERAGE"/>
    <x v="1"/>
  </r>
  <r>
    <x v="279"/>
    <x v="0"/>
    <x v="2"/>
    <x v="3"/>
    <x v="1"/>
    <x v="19"/>
    <n v="4.3"/>
    <n v="100"/>
    <n v="28"/>
    <n v="30"/>
    <n v="68"/>
    <n v="84"/>
    <n v="54"/>
    <n v="43"/>
    <n v="55.800000000000004"/>
    <x v="1"/>
    <s v="C"/>
    <x v="2"/>
    <s v="AVERAGE"/>
    <x v="1"/>
  </r>
  <r>
    <x v="280"/>
    <x v="0"/>
    <x v="2"/>
    <x v="0"/>
    <x v="0"/>
    <x v="18"/>
    <n v="1.1000000000000001"/>
    <n v="64"/>
    <n v="47"/>
    <n v="66"/>
    <n v="63"/>
    <n v="79"/>
    <n v="60"/>
    <n v="53"/>
    <n v="64.2"/>
    <x v="0"/>
    <s v="B"/>
    <x v="0"/>
    <s v="GOOD"/>
    <x v="0"/>
  </r>
  <r>
    <x v="281"/>
    <x v="1"/>
    <x v="0"/>
    <x v="2"/>
    <x v="0"/>
    <x v="8"/>
    <n v="4.4000000000000004"/>
    <n v="85"/>
    <n v="28"/>
    <n v="62"/>
    <n v="45"/>
    <n v="90"/>
    <n v="50"/>
    <n v="91"/>
    <n v="67.600000000000009"/>
    <x v="0"/>
    <s v="B"/>
    <x v="0"/>
    <s v="GOOD"/>
    <x v="0"/>
  </r>
  <r>
    <x v="282"/>
    <x v="0"/>
    <x v="2"/>
    <x v="1"/>
    <x v="1"/>
    <x v="51"/>
    <n v="3.8"/>
    <n v="55"/>
    <n v="30"/>
    <n v="70"/>
    <n v="29"/>
    <n v="73"/>
    <n v="75"/>
    <n v="72"/>
    <n v="63.800000000000004"/>
    <x v="1"/>
    <s v="B"/>
    <x v="2"/>
    <s v="GOOD"/>
    <x v="1"/>
  </r>
  <r>
    <x v="283"/>
    <x v="1"/>
    <x v="0"/>
    <x v="0"/>
    <x v="1"/>
    <x v="8"/>
    <n v="2.2999999999999998"/>
    <n v="79"/>
    <n v="24"/>
    <n v="14"/>
    <n v="45"/>
    <n v="79"/>
    <n v="56"/>
    <n v="35"/>
    <n v="45.800000000000004"/>
    <x v="1"/>
    <s v="D"/>
    <x v="1"/>
    <s v="AVERAGE"/>
    <x v="1"/>
  </r>
  <r>
    <x v="284"/>
    <x v="1"/>
    <x v="3"/>
    <x v="2"/>
    <x v="0"/>
    <x v="31"/>
    <n v="4.5999999999999996"/>
    <n v="66"/>
    <n v="18"/>
    <n v="63"/>
    <n v="53"/>
    <n v="31"/>
    <n v="71"/>
    <n v="75"/>
    <n v="58.599999999999994"/>
    <x v="1"/>
    <s v="C"/>
    <x v="2"/>
    <s v="AVERAGE"/>
    <x v="1"/>
  </r>
  <r>
    <x v="285"/>
    <x v="0"/>
    <x v="0"/>
    <x v="2"/>
    <x v="1"/>
    <x v="3"/>
    <n v="1"/>
    <n v="85"/>
    <n v="22"/>
    <n v="81"/>
    <n v="85"/>
    <n v="95"/>
    <n v="78"/>
    <n v="57"/>
    <n v="79.2"/>
    <x v="0"/>
    <s v="B"/>
    <x v="0"/>
    <s v="GOOD"/>
    <x v="0"/>
  </r>
  <r>
    <x v="286"/>
    <x v="1"/>
    <x v="1"/>
    <x v="1"/>
    <x v="0"/>
    <x v="21"/>
    <n v="1.6"/>
    <n v="71"/>
    <n v="29"/>
    <n v="15"/>
    <n v="75"/>
    <n v="97"/>
    <n v="54"/>
    <n v="61"/>
    <n v="60.4"/>
    <x v="1"/>
    <s v="B"/>
    <x v="2"/>
    <s v="GOOD"/>
    <x v="1"/>
  </r>
  <r>
    <x v="287"/>
    <x v="0"/>
    <x v="1"/>
    <x v="2"/>
    <x v="0"/>
    <x v="32"/>
    <n v="5"/>
    <n v="87"/>
    <n v="36"/>
    <n v="95"/>
    <n v="85"/>
    <n v="61"/>
    <n v="56"/>
    <n v="99"/>
    <n v="79.2"/>
    <x v="0"/>
    <s v="B"/>
    <x v="0"/>
    <s v="GOOD"/>
    <x v="0"/>
  </r>
  <r>
    <x v="288"/>
    <x v="0"/>
    <x v="1"/>
    <x v="1"/>
    <x v="0"/>
    <x v="35"/>
    <n v="4"/>
    <n v="58"/>
    <n v="33"/>
    <n v="59"/>
    <n v="33"/>
    <n v="42"/>
    <n v="63"/>
    <n v="75"/>
    <n v="54.400000000000006"/>
    <x v="1"/>
    <s v="C"/>
    <x v="2"/>
    <s v="AVERAGE"/>
    <x v="1"/>
  </r>
  <r>
    <x v="289"/>
    <x v="0"/>
    <x v="1"/>
    <x v="0"/>
    <x v="1"/>
    <x v="42"/>
    <n v="5.6"/>
    <n v="78"/>
    <n v="21"/>
    <n v="53"/>
    <n v="34"/>
    <n v="32"/>
    <n v="86"/>
    <n v="89"/>
    <n v="58.8"/>
    <x v="1"/>
    <s v="C"/>
    <x v="1"/>
    <s v="AVERAGE"/>
    <x v="1"/>
  </r>
  <r>
    <x v="290"/>
    <x v="1"/>
    <x v="2"/>
    <x v="3"/>
    <x v="1"/>
    <x v="32"/>
    <n v="5.4"/>
    <n v="77"/>
    <n v="34"/>
    <n v="15"/>
    <n v="30"/>
    <n v="50"/>
    <n v="69"/>
    <n v="94"/>
    <n v="51.6"/>
    <x v="1"/>
    <s v="C"/>
    <x v="1"/>
    <s v="AVERAGE"/>
    <x v="1"/>
  </r>
  <r>
    <x v="291"/>
    <x v="0"/>
    <x v="2"/>
    <x v="3"/>
    <x v="0"/>
    <x v="61"/>
    <n v="5.6"/>
    <n v="50"/>
    <n v="44"/>
    <n v="79"/>
    <n v="82"/>
    <n v="70"/>
    <n v="62"/>
    <n v="94"/>
    <n v="77.400000000000006"/>
    <x v="0"/>
    <s v="B"/>
    <x v="0"/>
    <s v="GOOD"/>
    <x v="0"/>
  </r>
  <r>
    <x v="292"/>
    <x v="0"/>
    <x v="0"/>
    <x v="0"/>
    <x v="1"/>
    <x v="37"/>
    <n v="2.6"/>
    <n v="68"/>
    <n v="50"/>
    <n v="11"/>
    <n v="70"/>
    <n v="69"/>
    <n v="98"/>
    <n v="78"/>
    <n v="65.2"/>
    <x v="1"/>
    <s v="B"/>
    <x v="2"/>
    <s v="GOOD"/>
    <x v="1"/>
  </r>
  <r>
    <x v="293"/>
    <x v="0"/>
    <x v="1"/>
    <x v="2"/>
    <x v="1"/>
    <x v="40"/>
    <n v="4.3"/>
    <n v="53"/>
    <n v="29"/>
    <n v="46"/>
    <n v="33"/>
    <n v="39"/>
    <n v="76"/>
    <n v="46"/>
    <n v="48"/>
    <x v="1"/>
    <s v="D"/>
    <x v="1"/>
    <s v="AVERAGE"/>
    <x v="1"/>
  </r>
  <r>
    <x v="294"/>
    <x v="0"/>
    <x v="0"/>
    <x v="2"/>
    <x v="0"/>
    <x v="9"/>
    <n v="3.7"/>
    <n v="67"/>
    <n v="41"/>
    <n v="90"/>
    <n v="36"/>
    <n v="97"/>
    <n v="56"/>
    <n v="78"/>
    <n v="71.399999999999991"/>
    <x v="1"/>
    <s v="B"/>
    <x v="2"/>
    <s v="GOOD"/>
    <x v="1"/>
  </r>
  <r>
    <x v="295"/>
    <x v="0"/>
    <x v="3"/>
    <x v="2"/>
    <x v="0"/>
    <x v="55"/>
    <n v="1.2"/>
    <n v="67"/>
    <n v="33"/>
    <n v="22"/>
    <n v="35"/>
    <n v="87"/>
    <n v="96"/>
    <n v="98"/>
    <n v="67.600000000000009"/>
    <x v="1"/>
    <s v="B"/>
    <x v="1"/>
    <s v="GOOD"/>
    <x v="1"/>
  </r>
  <r>
    <x v="296"/>
    <x v="1"/>
    <x v="0"/>
    <x v="1"/>
    <x v="0"/>
    <x v="8"/>
    <n v="5"/>
    <n v="98"/>
    <n v="45"/>
    <n v="70"/>
    <n v="74"/>
    <n v="71"/>
    <n v="54"/>
    <n v="71"/>
    <n v="68"/>
    <x v="0"/>
    <s v="B"/>
    <x v="0"/>
    <s v="GOOD"/>
    <x v="0"/>
  </r>
  <r>
    <x v="297"/>
    <x v="1"/>
    <x v="1"/>
    <x v="1"/>
    <x v="0"/>
    <x v="49"/>
    <n v="4.5999999999999996"/>
    <n v="59"/>
    <n v="29"/>
    <n v="45"/>
    <n v="60"/>
    <n v="84"/>
    <n v="87"/>
    <n v="47"/>
    <n v="64.600000000000009"/>
    <x v="0"/>
    <s v="B"/>
    <x v="0"/>
    <s v="GOOD"/>
    <x v="0"/>
  </r>
  <r>
    <x v="298"/>
    <x v="0"/>
    <x v="1"/>
    <x v="3"/>
    <x v="0"/>
    <x v="5"/>
    <n v="4.8"/>
    <n v="90"/>
    <n v="39"/>
    <n v="29"/>
    <n v="73"/>
    <n v="25"/>
    <n v="58"/>
    <n v="74"/>
    <n v="51.800000000000004"/>
    <x v="1"/>
    <s v="C"/>
    <x v="1"/>
    <s v="AVERAGE"/>
    <x v="1"/>
  </r>
  <r>
    <x v="299"/>
    <x v="1"/>
    <x v="0"/>
    <x v="2"/>
    <x v="1"/>
    <x v="2"/>
    <n v="2.2999999999999998"/>
    <n v="86"/>
    <n v="25"/>
    <n v="15"/>
    <n v="53"/>
    <n v="70"/>
    <n v="64"/>
    <n v="69"/>
    <n v="54.2"/>
    <x v="1"/>
    <s v="C"/>
    <x v="2"/>
    <s v="AVERAGE"/>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r>
  <r>
    <x v="1"/>
    <x v="1"/>
  </r>
  <r>
    <x v="2"/>
    <x v="2"/>
  </r>
  <r>
    <x v="3"/>
    <x v="3"/>
  </r>
  <r>
    <x v="4"/>
    <x v="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x v="0"/>
    <x v="0"/>
    <n v="24"/>
    <s v="CSE"/>
    <n v="8"/>
    <n v="76"/>
    <n v="2.2999999999999998"/>
    <n v="74"/>
    <n v="21"/>
    <n v="77"/>
    <n v="67"/>
    <n v="42"/>
    <n v="73"/>
    <n v="92"/>
    <n v="70.199999999999989"/>
    <s v="Pass"/>
    <s v="A"/>
    <n v="0"/>
    <s v="GOOD"/>
    <m/>
    <x v="0"/>
    <m/>
    <s v="MATHS"/>
    <n v="49.39"/>
    <m/>
    <m/>
    <n v="72.860759493670884"/>
  </r>
  <r>
    <x v="1"/>
    <x v="1"/>
    <n v="23"/>
    <s v="CIVIL"/>
    <n v="8"/>
    <n v="70"/>
    <n v="1.7"/>
    <n v="62"/>
    <n v="20"/>
    <n v="15"/>
    <n v="38"/>
    <n v="63"/>
    <n v="100"/>
    <n v="78"/>
    <n v="58.8"/>
    <s v="Fail"/>
    <s v="C"/>
    <n v="2"/>
    <s v="AVERAGE"/>
    <m/>
    <x v="1"/>
    <m/>
    <s v="DBMS"/>
    <n v="54.176666666666669"/>
    <m/>
    <m/>
    <n v="75.190140845070417"/>
  </r>
  <r>
    <x v="2"/>
    <x v="0"/>
    <n v="22"/>
    <s v="ME"/>
    <n v="8"/>
    <n v="87"/>
    <n v="6"/>
    <n v="82"/>
    <n v="29"/>
    <n v="51"/>
    <n v="42"/>
    <n v="74"/>
    <n v="83"/>
    <n v="52"/>
    <n v="60.4"/>
    <s v="Pass"/>
    <s v="B"/>
    <n v="0"/>
    <s v="GOOD"/>
    <m/>
    <x v="0"/>
    <m/>
    <s v="PYTHON"/>
    <n v="59.413333333333334"/>
    <m/>
    <m/>
    <m/>
  </r>
  <r>
    <x v="3"/>
    <x v="1"/>
    <n v="22"/>
    <s v="ME"/>
    <n v="8"/>
    <n v="83"/>
    <n v="1.1000000000000001"/>
    <n v="94"/>
    <n v="29"/>
    <n v="20"/>
    <n v="42"/>
    <n v="68"/>
    <n v="72"/>
    <n v="68"/>
    <n v="54"/>
    <s v="Fail"/>
    <s v="C"/>
    <n v="1"/>
    <s v="AVERAGE"/>
    <m/>
    <x v="1"/>
    <m/>
    <s v="COMPUTER NETWORKS"/>
    <n v="76.266666666666666"/>
    <m/>
    <m/>
    <m/>
  </r>
  <r>
    <x v="4"/>
    <x v="0"/>
    <n v="22"/>
    <s v="CIVIL"/>
    <n v="8"/>
    <n v="68"/>
    <n v="4.3"/>
    <n v="69"/>
    <n v="20"/>
    <n v="89"/>
    <n v="87"/>
    <n v="91"/>
    <n v="78"/>
    <n v="52"/>
    <n v="79.400000000000006"/>
    <s v="Pass"/>
    <s v="B"/>
    <n v="0"/>
    <s v="GOOD"/>
    <m/>
    <x v="0"/>
    <m/>
    <s v="ENGLISH"/>
    <n v="66.663333333333327"/>
    <m/>
    <m/>
    <m/>
  </r>
  <r>
    <x v="5"/>
    <x v="0"/>
    <n v="21"/>
    <s v="ME"/>
    <n v="8"/>
    <n v="93"/>
    <n v="5.4"/>
    <n v="75"/>
    <n v="29"/>
    <n v="64"/>
    <n v="15"/>
    <n v="58"/>
    <n v="96"/>
    <n v="77"/>
    <n v="62"/>
    <s v="Fail"/>
    <s v="B"/>
    <n v="1"/>
    <s v="GOOD"/>
    <m/>
    <x v="1"/>
    <m/>
    <m/>
    <m/>
    <m/>
    <m/>
    <m/>
  </r>
  <r>
    <x v="6"/>
    <x v="0"/>
    <n v="23"/>
    <s v="CIVIL"/>
    <n v="8"/>
    <n v="76"/>
    <n v="1.4"/>
    <n v="94"/>
    <n v="33"/>
    <n v="41"/>
    <n v="26"/>
    <n v="38"/>
    <n v="82"/>
    <n v="63"/>
    <n v="50"/>
    <s v="Fail"/>
    <s v="D"/>
    <n v="2"/>
    <s v="AVERAGE"/>
    <m/>
    <x v="1"/>
    <m/>
    <m/>
    <m/>
    <m/>
    <m/>
    <m/>
  </r>
  <r>
    <x v="7"/>
    <x v="0"/>
    <n v="24"/>
    <s v="ME"/>
    <n v="7"/>
    <n v="83"/>
    <n v="1.4"/>
    <n v="94"/>
    <n v="49"/>
    <n v="66"/>
    <n v="44"/>
    <n v="55"/>
    <n v="70"/>
    <n v="59"/>
    <n v="58.8"/>
    <s v="Pass"/>
    <s v="C"/>
    <n v="0"/>
    <s v="AVERAGE"/>
    <m/>
    <x v="0"/>
    <m/>
    <m/>
    <m/>
    <m/>
    <m/>
    <m/>
  </r>
  <r>
    <x v="8"/>
    <x v="0"/>
    <n v="23"/>
    <s v="ECE"/>
    <n v="7"/>
    <n v="75"/>
    <n v="1.6"/>
    <n v="76"/>
    <n v="43"/>
    <n v="90"/>
    <n v="14"/>
    <n v="37"/>
    <n v="90"/>
    <n v="45"/>
    <n v="55.2"/>
    <s v="Fail"/>
    <s v="C"/>
    <n v="2"/>
    <s v="AVERAGE"/>
    <m/>
    <x v="1"/>
    <m/>
    <m/>
    <m/>
    <m/>
    <m/>
    <m/>
  </r>
  <r>
    <x v="9"/>
    <x v="0"/>
    <n v="22"/>
    <s v="ECE"/>
    <n v="8"/>
    <n v="45"/>
    <n v="3.9"/>
    <n v="69"/>
    <n v="22"/>
    <n v="77"/>
    <n v="81"/>
    <n v="64"/>
    <n v="71"/>
    <n v="80"/>
    <n v="74.599999999999994"/>
    <s v="Pass"/>
    <s v="B"/>
    <n v="0"/>
    <s v="GOOD"/>
    <m/>
    <x v="0"/>
    <m/>
    <m/>
    <m/>
    <m/>
    <m/>
    <m/>
  </r>
  <r>
    <x v="10"/>
    <x v="0"/>
    <n v="21"/>
    <s v="CSE"/>
    <n v="7"/>
    <n v="74"/>
    <n v="4.4000000000000004"/>
    <n v="53"/>
    <n v="24"/>
    <n v="49"/>
    <n v="72"/>
    <n v="46"/>
    <n v="100"/>
    <n v="93"/>
    <n v="72"/>
    <s v="Pass"/>
    <s v="B"/>
    <n v="0"/>
    <s v="GOOD"/>
    <m/>
    <x v="0"/>
    <m/>
    <m/>
    <m/>
    <m/>
    <m/>
    <m/>
  </r>
  <r>
    <x v="11"/>
    <x v="1"/>
    <n v="23"/>
    <s v="CIVIL"/>
    <n v="7"/>
    <n v="57"/>
    <n v="1.3"/>
    <n v="62"/>
    <n v="40"/>
    <n v="75"/>
    <n v="76"/>
    <n v="40"/>
    <n v="74"/>
    <n v="84"/>
    <n v="69.8"/>
    <s v="Pass"/>
    <s v="B"/>
    <n v="0"/>
    <s v="GOOD"/>
    <m/>
    <x v="0"/>
    <m/>
    <m/>
    <m/>
    <m/>
    <m/>
    <m/>
  </r>
  <r>
    <x v="12"/>
    <x v="0"/>
    <n v="22"/>
    <s v="ECE"/>
    <n v="7"/>
    <n v="82"/>
    <n v="2.1"/>
    <n v="94"/>
    <n v="36"/>
    <n v="76"/>
    <n v="29"/>
    <n v="96"/>
    <n v="80"/>
    <n v="43"/>
    <n v="64.8"/>
    <s v="Fail"/>
    <s v="B"/>
    <n v="1"/>
    <s v="GOOD"/>
    <m/>
    <x v="1"/>
    <m/>
    <m/>
    <m/>
    <m/>
    <m/>
    <m/>
  </r>
  <r>
    <x v="13"/>
    <x v="0"/>
    <n v="24"/>
    <s v="CSE"/>
    <n v="7"/>
    <n v="90"/>
    <n v="5.2"/>
    <n v="77"/>
    <n v="26"/>
    <n v="19"/>
    <n v="17"/>
    <n v="47"/>
    <n v="89"/>
    <n v="96"/>
    <n v="53.6"/>
    <s v="Fail"/>
    <s v="C"/>
    <n v="2"/>
    <s v="AVERAGE"/>
    <m/>
    <x v="1"/>
    <m/>
    <m/>
    <m/>
    <m/>
    <m/>
    <m/>
  </r>
  <r>
    <x v="14"/>
    <x v="0"/>
    <n v="22"/>
    <s v="CSE"/>
    <n v="7"/>
    <n v="51"/>
    <n v="5"/>
    <n v="64"/>
    <n v="24"/>
    <n v="44"/>
    <n v="81"/>
    <n v="43"/>
    <n v="86"/>
    <n v="91"/>
    <n v="69"/>
    <s v="Pass"/>
    <s v="B"/>
    <n v="0"/>
    <s v="GOOD"/>
    <m/>
    <x v="0"/>
    <m/>
    <m/>
    <m/>
    <m/>
    <m/>
    <m/>
  </r>
  <r>
    <x v="15"/>
    <x v="0"/>
    <n v="21"/>
    <s v="ME"/>
    <n v="7"/>
    <n v="45"/>
    <n v="1.5"/>
    <n v="56"/>
    <n v="23"/>
    <n v="17"/>
    <n v="33"/>
    <n v="75"/>
    <n v="67"/>
    <n v="38"/>
    <n v="46"/>
    <s v="Fail"/>
    <s v="D"/>
    <n v="3"/>
    <s v="AVERAGE"/>
    <m/>
    <x v="1"/>
    <m/>
    <m/>
    <m/>
    <m/>
    <m/>
    <m/>
  </r>
  <r>
    <x v="16"/>
    <x v="0"/>
    <n v="23"/>
    <s v="ME"/>
    <n v="7"/>
    <n v="91"/>
    <n v="5.7"/>
    <n v="74"/>
    <n v="19"/>
    <n v="40"/>
    <n v="91"/>
    <n v="39"/>
    <n v="74"/>
    <n v="94"/>
    <n v="67.600000000000009"/>
    <s v="Fail"/>
    <s v="B"/>
    <n v="1"/>
    <s v="GOOD"/>
    <m/>
    <x v="1"/>
    <m/>
    <m/>
    <m/>
    <m/>
    <m/>
    <m/>
  </r>
  <r>
    <x v="17"/>
    <x v="1"/>
    <n v="23"/>
    <s v="ME"/>
    <n v="8"/>
    <n v="82"/>
    <n v="3.8"/>
    <n v="71"/>
    <n v="32"/>
    <n v="53"/>
    <n v="47"/>
    <n v="44"/>
    <n v="100"/>
    <n v="37"/>
    <n v="56.2"/>
    <s v="Fail"/>
    <s v="C"/>
    <n v="1"/>
    <s v="AVERAGE"/>
    <m/>
    <x v="1"/>
    <m/>
    <m/>
    <m/>
    <m/>
    <m/>
    <m/>
  </r>
  <r>
    <x v="18"/>
    <x v="0"/>
    <n v="23"/>
    <s v="CSE"/>
    <n v="7"/>
    <n v="90"/>
    <n v="2.1"/>
    <n v="95"/>
    <n v="18"/>
    <n v="35"/>
    <n v="28"/>
    <n v="49"/>
    <n v="88"/>
    <n v="86"/>
    <n v="57.199999999999996"/>
    <s v="Fail"/>
    <s v="C"/>
    <n v="2"/>
    <s v="AVERAGE"/>
    <m/>
    <x v="1"/>
    <m/>
    <m/>
    <m/>
    <m/>
    <m/>
    <m/>
  </r>
  <r>
    <x v="19"/>
    <x v="0"/>
    <n v="22"/>
    <s v="CSE"/>
    <n v="8"/>
    <n v="70"/>
    <n v="2.2000000000000002"/>
    <n v="67"/>
    <n v="38"/>
    <n v="80"/>
    <n v="86"/>
    <n v="26"/>
    <n v="71"/>
    <n v="60"/>
    <n v="64.600000000000009"/>
    <s v="Fail"/>
    <s v="B"/>
    <n v="1"/>
    <s v="GOOD"/>
    <m/>
    <x v="1"/>
    <m/>
    <m/>
    <m/>
    <m/>
    <m/>
    <m/>
  </r>
  <r>
    <x v="20"/>
    <x v="0"/>
    <n v="23"/>
    <s v="CSE"/>
    <n v="8"/>
    <n v="31"/>
    <n v="4.3"/>
    <n v="50"/>
    <n v="44"/>
    <n v="72"/>
    <n v="54"/>
    <n v="50"/>
    <n v="68"/>
    <n v="80"/>
    <n v="64.8"/>
    <s v="Pass"/>
    <s v="B"/>
    <n v="0"/>
    <s v="GOOD"/>
    <m/>
    <x v="0"/>
    <m/>
    <m/>
    <m/>
    <m/>
    <m/>
    <m/>
  </r>
  <r>
    <x v="21"/>
    <x v="1"/>
    <n v="22"/>
    <s v="ME"/>
    <n v="8"/>
    <n v="75"/>
    <n v="5.7"/>
    <n v="92"/>
    <n v="33"/>
    <n v="65"/>
    <n v="48"/>
    <n v="30"/>
    <n v="75"/>
    <n v="39"/>
    <n v="51.4"/>
    <s v="Fail"/>
    <s v="C"/>
    <n v="2"/>
    <s v="AVERAGE"/>
    <m/>
    <x v="1"/>
    <m/>
    <m/>
    <m/>
    <m/>
    <m/>
    <m/>
  </r>
  <r>
    <x v="22"/>
    <x v="0"/>
    <n v="24"/>
    <s v="CSE"/>
    <n v="8"/>
    <n v="91"/>
    <n v="5.5"/>
    <n v="100"/>
    <n v="22"/>
    <n v="81"/>
    <n v="94"/>
    <n v="66"/>
    <n v="97"/>
    <n v="63"/>
    <n v="80.2"/>
    <s v="Pass"/>
    <s v="A"/>
    <n v="0"/>
    <s v="EXCELLENT"/>
    <m/>
    <x v="0"/>
    <m/>
    <m/>
    <m/>
    <m/>
    <m/>
    <m/>
  </r>
  <r>
    <x v="23"/>
    <x v="0"/>
    <n v="22"/>
    <s v="ME"/>
    <n v="8"/>
    <n v="62"/>
    <n v="4.4000000000000004"/>
    <n v="56"/>
    <n v="33"/>
    <n v="13"/>
    <n v="88"/>
    <n v="73"/>
    <n v="80"/>
    <n v="51"/>
    <n v="61"/>
    <s v="Fail"/>
    <s v="B"/>
    <n v="1"/>
    <s v="GOOD"/>
    <m/>
    <x v="1"/>
    <m/>
    <m/>
    <m/>
    <m/>
    <m/>
    <m/>
  </r>
  <r>
    <x v="24"/>
    <x v="0"/>
    <n v="23"/>
    <s v="ECE"/>
    <n v="7"/>
    <n v="60"/>
    <n v="2.9"/>
    <n v="51"/>
    <n v="40"/>
    <n v="49"/>
    <n v="41"/>
    <n v="23"/>
    <n v="93"/>
    <n v="69"/>
    <n v="55.000000000000007"/>
    <s v="Fail"/>
    <s v="C"/>
    <n v="1"/>
    <s v="AVERAGE"/>
    <m/>
    <x v="1"/>
    <m/>
    <m/>
    <m/>
    <m/>
    <m/>
    <m/>
  </r>
  <r>
    <x v="25"/>
    <x v="1"/>
    <n v="24"/>
    <s v="CSE"/>
    <n v="7"/>
    <n v="87"/>
    <n v="3.5"/>
    <n v="89"/>
    <n v="47"/>
    <n v="79"/>
    <n v="32"/>
    <n v="56"/>
    <n v="70"/>
    <n v="94"/>
    <n v="66.2"/>
    <s v="Fail"/>
    <s v="B"/>
    <n v="1"/>
    <s v="GOOD"/>
    <m/>
    <x v="1"/>
    <m/>
    <m/>
    <m/>
    <m/>
    <m/>
    <m/>
  </r>
  <r>
    <x v="26"/>
    <x v="1"/>
    <n v="22"/>
    <s v="ME"/>
    <n v="7"/>
    <n v="57"/>
    <n v="1.1000000000000001"/>
    <n v="57"/>
    <n v="25"/>
    <n v="44"/>
    <n v="51"/>
    <n v="94"/>
    <n v="68"/>
    <n v="95"/>
    <n v="70.399999999999991"/>
    <s v="Pass"/>
    <s v="B"/>
    <n v="0"/>
    <s v="GOOD"/>
    <m/>
    <x v="0"/>
    <m/>
    <m/>
    <m/>
    <m/>
    <m/>
    <m/>
  </r>
  <r>
    <x v="27"/>
    <x v="0"/>
    <n v="24"/>
    <s v="ME"/>
    <n v="7"/>
    <n v="88"/>
    <n v="2.7"/>
    <n v="78"/>
    <n v="38"/>
    <n v="40"/>
    <n v="77"/>
    <n v="24"/>
    <n v="71"/>
    <n v="52"/>
    <n v="52.800000000000004"/>
    <s v="Fail"/>
    <s v="C"/>
    <n v="1"/>
    <s v="AVERAGE"/>
    <m/>
    <x v="1"/>
    <m/>
    <m/>
    <m/>
    <m/>
    <m/>
    <m/>
  </r>
  <r>
    <x v="28"/>
    <x v="1"/>
    <n v="22"/>
    <s v="CSE"/>
    <n v="8"/>
    <n v="93"/>
    <n v="4.5"/>
    <n v="90"/>
    <n v="32"/>
    <n v="19"/>
    <n v="57"/>
    <n v="24"/>
    <n v="96"/>
    <n v="43"/>
    <n v="47.8"/>
    <s v="Fail"/>
    <s v="D"/>
    <n v="2"/>
    <s v="AVERAGE"/>
    <m/>
    <x v="1"/>
    <m/>
    <m/>
    <m/>
    <m/>
    <m/>
    <m/>
  </r>
  <r>
    <x v="29"/>
    <x v="1"/>
    <n v="22"/>
    <s v="ME"/>
    <n v="7"/>
    <n v="84"/>
    <n v="2.5"/>
    <n v="93"/>
    <n v="44"/>
    <n v="73"/>
    <n v="81"/>
    <n v="80"/>
    <n v="97"/>
    <n v="50"/>
    <n v="76.2"/>
    <s v="Pass"/>
    <s v="B"/>
    <n v="0"/>
    <s v="GOOD"/>
    <m/>
    <x v="0"/>
    <m/>
    <m/>
    <m/>
    <m/>
    <m/>
    <m/>
  </r>
  <r>
    <x v="30"/>
    <x v="0"/>
    <n v="21"/>
    <s v="ECE"/>
    <n v="7"/>
    <n v="68"/>
    <n v="3.9"/>
    <n v="70"/>
    <n v="50"/>
    <n v="40"/>
    <n v="71"/>
    <n v="78"/>
    <n v="79"/>
    <n v="50"/>
    <n v="63.6"/>
    <s v="Pass"/>
    <s v="B"/>
    <n v="0"/>
    <s v="GOOD"/>
    <m/>
    <x v="0"/>
    <m/>
    <m/>
    <m/>
    <m/>
    <m/>
    <m/>
  </r>
  <r>
    <x v="31"/>
    <x v="0"/>
    <n v="24"/>
    <s v="ECE"/>
    <n v="8"/>
    <n v="70"/>
    <n v="1.9"/>
    <n v="51"/>
    <n v="22"/>
    <n v="25"/>
    <n v="18"/>
    <n v="68"/>
    <n v="87"/>
    <n v="90"/>
    <n v="57.599999999999994"/>
    <s v="Fail"/>
    <s v="C"/>
    <n v="2"/>
    <s v="AVERAGE"/>
    <m/>
    <x v="1"/>
    <m/>
    <m/>
    <m/>
    <m/>
    <m/>
    <m/>
  </r>
  <r>
    <x v="32"/>
    <x v="0"/>
    <n v="21"/>
    <s v="ECE"/>
    <n v="8"/>
    <n v="75"/>
    <n v="5.4"/>
    <n v="53"/>
    <n v="27"/>
    <n v="82"/>
    <n v="27"/>
    <n v="86"/>
    <n v="56"/>
    <n v="76"/>
    <n v="65.400000000000006"/>
    <s v="Fail"/>
    <s v="B"/>
    <n v="1"/>
    <s v="GOOD"/>
    <m/>
    <x v="1"/>
    <m/>
    <m/>
    <m/>
    <m/>
    <m/>
    <m/>
  </r>
  <r>
    <x v="33"/>
    <x v="1"/>
    <n v="23"/>
    <s v="ME"/>
    <n v="8"/>
    <n v="76"/>
    <n v="2.4"/>
    <n v="95"/>
    <n v="23"/>
    <n v="88"/>
    <n v="12"/>
    <n v="45"/>
    <n v="83"/>
    <n v="40"/>
    <n v="53.6"/>
    <s v="Fail"/>
    <s v="C"/>
    <n v="1"/>
    <s v="AVERAGE"/>
    <m/>
    <x v="1"/>
    <m/>
    <m/>
    <m/>
    <m/>
    <m/>
    <m/>
  </r>
  <r>
    <x v="34"/>
    <x v="1"/>
    <n v="23"/>
    <s v="ME"/>
    <n v="8"/>
    <n v="70"/>
    <n v="1.7"/>
    <n v="60"/>
    <n v="50"/>
    <n v="16"/>
    <n v="41"/>
    <n v="79"/>
    <n v="52"/>
    <n v="79"/>
    <n v="53.400000000000006"/>
    <s v="Fail"/>
    <s v="C"/>
    <n v="1"/>
    <s v="AVERAGE"/>
    <m/>
    <x v="1"/>
    <m/>
    <m/>
    <m/>
    <m/>
    <m/>
    <m/>
  </r>
  <r>
    <x v="35"/>
    <x v="0"/>
    <n v="24"/>
    <s v="CSE"/>
    <n v="7"/>
    <n v="79"/>
    <n v="1.9"/>
    <n v="96"/>
    <n v="35"/>
    <n v="19"/>
    <n v="19"/>
    <n v="85"/>
    <n v="55"/>
    <n v="52"/>
    <n v="46"/>
    <s v="Fail"/>
    <s v="D"/>
    <n v="2"/>
    <s v="AVERAGE"/>
    <m/>
    <x v="1"/>
    <m/>
    <m/>
    <m/>
    <m/>
    <m/>
    <m/>
  </r>
  <r>
    <x v="36"/>
    <x v="0"/>
    <n v="22"/>
    <s v="CSE"/>
    <n v="8"/>
    <n v="92"/>
    <n v="5.5"/>
    <n v="84"/>
    <n v="48"/>
    <n v="56"/>
    <n v="25"/>
    <n v="28"/>
    <n v="91"/>
    <n v="38"/>
    <n v="47.599999999999994"/>
    <s v="Fail"/>
    <s v="D"/>
    <n v="3"/>
    <s v="AVERAGE"/>
    <m/>
    <x v="1"/>
    <m/>
    <m/>
    <m/>
    <m/>
    <m/>
    <m/>
  </r>
  <r>
    <x v="37"/>
    <x v="0"/>
    <n v="24"/>
    <s v="CIVIL"/>
    <n v="8"/>
    <n v="85"/>
    <n v="1.2"/>
    <n v="74"/>
    <n v="44"/>
    <n v="43"/>
    <n v="46"/>
    <n v="42"/>
    <n v="89"/>
    <n v="44"/>
    <n v="52.800000000000004"/>
    <s v="Pass"/>
    <s v="C"/>
    <n v="0"/>
    <s v="AVERAGE"/>
    <m/>
    <x v="0"/>
    <m/>
    <m/>
    <m/>
    <m/>
    <m/>
    <m/>
  </r>
  <r>
    <x v="38"/>
    <x v="0"/>
    <n v="21"/>
    <s v="ECE"/>
    <n v="8"/>
    <n v="82"/>
    <n v="2.9"/>
    <n v="81"/>
    <n v="31"/>
    <n v="71"/>
    <n v="33"/>
    <n v="47"/>
    <n v="71"/>
    <n v="96"/>
    <n v="63.6"/>
    <s v="Fail"/>
    <s v="B"/>
    <n v="1"/>
    <s v="GOOD"/>
    <m/>
    <x v="1"/>
    <m/>
    <m/>
    <m/>
    <m/>
    <m/>
    <m/>
  </r>
  <r>
    <x v="39"/>
    <x v="1"/>
    <n v="24"/>
    <s v="ME"/>
    <n v="8"/>
    <n v="72"/>
    <n v="1.2"/>
    <n v="69"/>
    <n v="47"/>
    <n v="82"/>
    <n v="82"/>
    <n v="92"/>
    <n v="81"/>
    <n v="50"/>
    <n v="77.400000000000006"/>
    <s v="Pass"/>
    <s v="B"/>
    <n v="0"/>
    <s v="GOOD"/>
    <m/>
    <x v="0"/>
    <m/>
    <m/>
    <m/>
    <m/>
    <m/>
    <m/>
  </r>
  <r>
    <x v="40"/>
    <x v="0"/>
    <n v="23"/>
    <s v="ME"/>
    <n v="7"/>
    <n v="90"/>
    <n v="2.4"/>
    <n v="85"/>
    <n v="50"/>
    <n v="32"/>
    <n v="63"/>
    <n v="89"/>
    <n v="83"/>
    <n v="59"/>
    <n v="65.2"/>
    <s v="Fail"/>
    <s v="B"/>
    <n v="1"/>
    <s v="GOOD"/>
    <m/>
    <x v="1"/>
    <m/>
    <m/>
    <m/>
    <m/>
    <m/>
    <m/>
  </r>
  <r>
    <x v="41"/>
    <x v="0"/>
    <n v="22"/>
    <s v="CIVIL"/>
    <n v="8"/>
    <n v="84"/>
    <n v="3.4"/>
    <n v="99"/>
    <n v="18"/>
    <n v="52"/>
    <n v="48"/>
    <n v="25"/>
    <n v="56"/>
    <n v="78"/>
    <n v="51.800000000000004"/>
    <s v="Fail"/>
    <s v="C"/>
    <n v="1"/>
    <s v="AVERAGE"/>
    <m/>
    <x v="1"/>
    <m/>
    <m/>
    <m/>
    <m/>
    <m/>
    <m/>
  </r>
  <r>
    <x v="42"/>
    <x v="1"/>
    <n v="21"/>
    <s v="CSE"/>
    <n v="7"/>
    <n v="87"/>
    <n v="2.5"/>
    <n v="86"/>
    <n v="31"/>
    <n v="31"/>
    <n v="12"/>
    <n v="50"/>
    <n v="72"/>
    <n v="95"/>
    <n v="52"/>
    <s v="Fail"/>
    <s v="C"/>
    <n v="2"/>
    <s v="AVERAGE"/>
    <m/>
    <x v="1"/>
    <m/>
    <m/>
    <m/>
    <m/>
    <m/>
    <m/>
  </r>
  <r>
    <x v="43"/>
    <x v="0"/>
    <n v="23"/>
    <s v="CSE"/>
    <n v="8"/>
    <n v="76"/>
    <n v="1.2"/>
    <n v="76"/>
    <n v="20"/>
    <n v="75"/>
    <n v="50"/>
    <n v="88"/>
    <n v="98"/>
    <n v="30"/>
    <n v="68.2"/>
    <s v="Fail"/>
    <s v="B"/>
    <n v="1"/>
    <s v="GOOD"/>
    <m/>
    <x v="1"/>
    <m/>
    <m/>
    <m/>
    <m/>
    <m/>
    <m/>
  </r>
  <r>
    <x v="44"/>
    <x v="1"/>
    <n v="21"/>
    <s v="ME"/>
    <n v="8"/>
    <n v="85"/>
    <n v="4.5"/>
    <n v="88"/>
    <n v="27"/>
    <n v="55"/>
    <n v="32"/>
    <n v="78"/>
    <n v="67"/>
    <n v="36"/>
    <n v="53.6"/>
    <s v="Fail"/>
    <s v="C"/>
    <n v="2"/>
    <s v="AVERAGE"/>
    <m/>
    <x v="1"/>
    <m/>
    <m/>
    <m/>
    <m/>
    <m/>
    <m/>
  </r>
  <r>
    <x v="45"/>
    <x v="1"/>
    <n v="21"/>
    <s v="CIVIL"/>
    <n v="8"/>
    <n v="65"/>
    <n v="5.3"/>
    <n v="55"/>
    <n v="49"/>
    <n v="11"/>
    <n v="69"/>
    <n v="31"/>
    <n v="88"/>
    <n v="94"/>
    <n v="58.599999999999994"/>
    <s v="Fail"/>
    <s v="C"/>
    <n v="2"/>
    <s v="AVERAGE"/>
    <m/>
    <x v="1"/>
    <m/>
    <m/>
    <m/>
    <m/>
    <m/>
    <m/>
  </r>
  <r>
    <x v="46"/>
    <x v="0"/>
    <n v="22"/>
    <s v="ECE"/>
    <n v="7"/>
    <n v="79"/>
    <n v="5.4"/>
    <n v="83"/>
    <n v="28"/>
    <n v="61"/>
    <n v="51"/>
    <n v="29"/>
    <n v="78"/>
    <n v="71"/>
    <n v="57.999999999999993"/>
    <s v="Fail"/>
    <s v="C"/>
    <n v="1"/>
    <s v="AVERAGE"/>
    <m/>
    <x v="1"/>
    <m/>
    <m/>
    <m/>
    <m/>
    <m/>
    <m/>
  </r>
  <r>
    <x v="47"/>
    <x v="0"/>
    <n v="24"/>
    <s v="CSE"/>
    <n v="7"/>
    <n v="86"/>
    <n v="5.7"/>
    <n v="78"/>
    <n v="50"/>
    <n v="34"/>
    <n v="53"/>
    <n v="58"/>
    <n v="100"/>
    <n v="99"/>
    <n v="68.8"/>
    <s v="Fail"/>
    <s v="B"/>
    <n v="1"/>
    <s v="GOOD"/>
    <m/>
    <x v="1"/>
    <m/>
    <m/>
    <m/>
    <m/>
    <m/>
    <m/>
  </r>
  <r>
    <x v="48"/>
    <x v="0"/>
    <n v="21"/>
    <s v="ECE"/>
    <n v="8"/>
    <n v="79"/>
    <n v="1.5"/>
    <n v="99"/>
    <n v="18"/>
    <n v="32"/>
    <n v="36"/>
    <n v="80"/>
    <n v="66"/>
    <n v="70"/>
    <n v="56.8"/>
    <s v="Fail"/>
    <s v="C"/>
    <n v="2"/>
    <s v="AVERAGE"/>
    <m/>
    <x v="1"/>
    <m/>
    <m/>
    <m/>
    <m/>
    <m/>
    <m/>
  </r>
  <r>
    <x v="49"/>
    <x v="0"/>
    <n v="23"/>
    <s v="ME"/>
    <n v="8"/>
    <n v="86"/>
    <n v="2.8"/>
    <n v="100"/>
    <n v="41"/>
    <n v="27"/>
    <n v="66"/>
    <n v="61"/>
    <n v="90"/>
    <n v="97"/>
    <n v="68.2"/>
    <s v="Fail"/>
    <s v="B"/>
    <n v="1"/>
    <s v="GOOD"/>
    <m/>
    <x v="1"/>
    <m/>
    <m/>
    <m/>
    <m/>
    <m/>
    <m/>
  </r>
  <r>
    <x v="50"/>
    <x v="1"/>
    <n v="21"/>
    <s v="CIVIL"/>
    <n v="7"/>
    <n v="53"/>
    <n v="2.4"/>
    <n v="64"/>
    <n v="29"/>
    <n v="47"/>
    <n v="94"/>
    <n v="76"/>
    <n v="83"/>
    <n v="61"/>
    <n v="72.2"/>
    <s v="Pass"/>
    <s v="B"/>
    <n v="0"/>
    <s v="GOOD"/>
    <m/>
    <x v="0"/>
    <m/>
    <m/>
    <m/>
    <m/>
    <m/>
    <m/>
  </r>
  <r>
    <x v="51"/>
    <x v="0"/>
    <n v="22"/>
    <s v="CIVIL"/>
    <n v="7"/>
    <n v="89"/>
    <n v="3"/>
    <n v="88"/>
    <n v="43"/>
    <n v="29"/>
    <n v="72"/>
    <n v="34"/>
    <n v="51"/>
    <n v="74"/>
    <n v="52"/>
    <s v="Fail"/>
    <s v="C"/>
    <n v="2"/>
    <s v="AVERAGE"/>
    <m/>
    <x v="1"/>
    <m/>
    <m/>
    <m/>
    <m/>
    <m/>
    <m/>
  </r>
  <r>
    <x v="52"/>
    <x v="0"/>
    <n v="24"/>
    <s v="ECE"/>
    <n v="7"/>
    <n v="92"/>
    <n v="4.0999999999999996"/>
    <n v="90"/>
    <n v="21"/>
    <n v="75"/>
    <n v="13"/>
    <n v="26"/>
    <n v="57"/>
    <n v="41"/>
    <n v="42.4"/>
    <s v="Fail"/>
    <s v="D"/>
    <n v="2"/>
    <s v="AVERAGE"/>
    <m/>
    <x v="1"/>
    <m/>
    <m/>
    <m/>
    <m/>
    <m/>
    <m/>
  </r>
  <r>
    <x v="53"/>
    <x v="0"/>
    <n v="24"/>
    <s v="ECE"/>
    <n v="7"/>
    <n v="69"/>
    <n v="3.2"/>
    <n v="66"/>
    <n v="41"/>
    <n v="15"/>
    <n v="31"/>
    <n v="49"/>
    <n v="74"/>
    <n v="81"/>
    <n v="50"/>
    <s v="Fail"/>
    <s v="D"/>
    <n v="2"/>
    <s v="AVERAGE"/>
    <m/>
    <x v="1"/>
    <m/>
    <m/>
    <m/>
    <m/>
    <m/>
    <m/>
  </r>
  <r>
    <x v="54"/>
    <x v="0"/>
    <n v="21"/>
    <s v="CIVIL"/>
    <n v="7"/>
    <n v="46"/>
    <n v="1.9"/>
    <n v="61"/>
    <n v="31"/>
    <n v="31"/>
    <n v="71"/>
    <n v="43"/>
    <n v="82"/>
    <n v="53"/>
    <n v="56.000000000000007"/>
    <s v="Fail"/>
    <s v="C"/>
    <n v="1"/>
    <s v="AVERAGE"/>
    <m/>
    <x v="1"/>
    <m/>
    <m/>
    <m/>
    <m/>
    <m/>
    <m/>
  </r>
  <r>
    <x v="55"/>
    <x v="0"/>
    <n v="23"/>
    <s v="CSE"/>
    <n v="8"/>
    <n v="55"/>
    <n v="2.9"/>
    <n v="69"/>
    <n v="30"/>
    <n v="55"/>
    <n v="78"/>
    <n v="70"/>
    <n v="60"/>
    <n v="96"/>
    <n v="71.8"/>
    <s v="Pass"/>
    <s v="B"/>
    <n v="0"/>
    <s v="GOOD"/>
    <m/>
    <x v="0"/>
    <m/>
    <m/>
    <m/>
    <m/>
    <m/>
    <m/>
  </r>
  <r>
    <x v="56"/>
    <x v="1"/>
    <n v="21"/>
    <s v="ME"/>
    <n v="8"/>
    <n v="56"/>
    <n v="1.8"/>
    <n v="67"/>
    <n v="50"/>
    <n v="29"/>
    <n v="64"/>
    <n v="47"/>
    <n v="65"/>
    <n v="99"/>
    <n v="60.8"/>
    <s v="Fail"/>
    <s v="B"/>
    <n v="1"/>
    <s v="GOOD"/>
    <m/>
    <x v="1"/>
    <m/>
    <m/>
    <m/>
    <m/>
    <m/>
    <m/>
  </r>
  <r>
    <x v="57"/>
    <x v="1"/>
    <n v="23"/>
    <s v="CIVIL"/>
    <n v="8"/>
    <n v="41"/>
    <n v="5.6"/>
    <n v="51"/>
    <n v="34"/>
    <n v="93"/>
    <n v="85"/>
    <n v="74"/>
    <n v="62"/>
    <n v="48"/>
    <n v="72.399999999999991"/>
    <s v="Pass"/>
    <s v="B"/>
    <n v="0"/>
    <s v="GOOD"/>
    <m/>
    <x v="0"/>
    <m/>
    <m/>
    <m/>
    <m/>
    <m/>
    <m/>
  </r>
  <r>
    <x v="58"/>
    <x v="1"/>
    <n v="23"/>
    <s v="ME"/>
    <n v="7"/>
    <n v="61"/>
    <n v="5.5"/>
    <n v="51"/>
    <n v="49"/>
    <n v="46"/>
    <n v="30"/>
    <n v="47"/>
    <n v="53"/>
    <n v="86"/>
    <n v="52.400000000000006"/>
    <s v="Fail"/>
    <s v="C"/>
    <n v="1"/>
    <s v="AVERAGE"/>
    <m/>
    <x v="1"/>
    <m/>
    <m/>
    <m/>
    <m/>
    <m/>
    <m/>
  </r>
  <r>
    <x v="59"/>
    <x v="0"/>
    <n v="24"/>
    <s v="ME"/>
    <n v="8"/>
    <n v="66"/>
    <n v="3.7"/>
    <n v="54"/>
    <n v="38"/>
    <n v="53"/>
    <n v="89"/>
    <n v="53"/>
    <n v="90"/>
    <n v="66"/>
    <n v="70.199999999999989"/>
    <s v="Pass"/>
    <s v="B"/>
    <n v="0"/>
    <s v="GOOD"/>
    <m/>
    <x v="0"/>
    <m/>
    <m/>
    <m/>
    <m/>
    <m/>
    <m/>
  </r>
  <r>
    <x v="60"/>
    <x v="1"/>
    <n v="21"/>
    <s v="CSE"/>
    <n v="7"/>
    <n v="67"/>
    <n v="2.5"/>
    <n v="61"/>
    <n v="39"/>
    <n v="11"/>
    <n v="82"/>
    <n v="67"/>
    <n v="72"/>
    <n v="30"/>
    <n v="52.400000000000006"/>
    <s v="Fail"/>
    <s v="C"/>
    <n v="2"/>
    <s v="AVERAGE"/>
    <m/>
    <x v="1"/>
    <m/>
    <m/>
    <m/>
    <m/>
    <m/>
    <m/>
  </r>
  <r>
    <x v="61"/>
    <x v="0"/>
    <n v="23"/>
    <s v="ME"/>
    <n v="8"/>
    <n v="62"/>
    <n v="4.4000000000000004"/>
    <n v="59"/>
    <n v="40"/>
    <n v="62"/>
    <n v="47"/>
    <n v="65"/>
    <n v="81"/>
    <n v="79"/>
    <n v="66.8"/>
    <s v="Pass"/>
    <s v="B"/>
    <n v="0"/>
    <s v="GOOD"/>
    <m/>
    <x v="0"/>
    <m/>
    <m/>
    <m/>
    <m/>
    <m/>
    <m/>
  </r>
  <r>
    <x v="62"/>
    <x v="1"/>
    <n v="23"/>
    <s v="ME"/>
    <n v="8"/>
    <n v="79"/>
    <n v="3.2"/>
    <n v="97"/>
    <n v="37"/>
    <n v="71"/>
    <n v="21"/>
    <n v="29"/>
    <n v="82"/>
    <n v="50"/>
    <n v="50.6"/>
    <s v="Fail"/>
    <s v="C"/>
    <n v="2"/>
    <s v="AVERAGE"/>
    <m/>
    <x v="1"/>
    <m/>
    <m/>
    <m/>
    <m/>
    <m/>
    <m/>
  </r>
  <r>
    <x v="63"/>
    <x v="1"/>
    <n v="23"/>
    <s v="ECE"/>
    <n v="8"/>
    <n v="85"/>
    <n v="1.2"/>
    <n v="96"/>
    <n v="35"/>
    <n v="88"/>
    <n v="26"/>
    <n v="30"/>
    <n v="51"/>
    <n v="99"/>
    <n v="58.8"/>
    <s v="Fail"/>
    <s v="C"/>
    <n v="2"/>
    <s v="AVERAGE"/>
    <m/>
    <x v="1"/>
    <m/>
    <m/>
    <m/>
    <m/>
    <m/>
    <m/>
  </r>
  <r>
    <x v="64"/>
    <x v="0"/>
    <n v="21"/>
    <s v="CIVIL"/>
    <n v="7"/>
    <n v="25"/>
    <n v="4.0999999999999996"/>
    <n v="50"/>
    <n v="18"/>
    <n v="71"/>
    <n v="89"/>
    <n v="79"/>
    <n v="80"/>
    <n v="32"/>
    <n v="70.199999999999989"/>
    <s v="Fail"/>
    <s v="B"/>
    <n v="1"/>
    <s v="GOOD"/>
    <m/>
    <x v="1"/>
    <m/>
    <m/>
    <m/>
    <m/>
    <m/>
    <m/>
  </r>
  <r>
    <x v="65"/>
    <x v="1"/>
    <n v="23"/>
    <s v="CIVIL"/>
    <n v="8"/>
    <n v="88"/>
    <n v="5.6"/>
    <n v="95"/>
    <n v="32"/>
    <n v="43"/>
    <n v="14"/>
    <n v="54"/>
    <n v="83"/>
    <n v="100"/>
    <n v="58.8"/>
    <s v="Fail"/>
    <s v="C"/>
    <n v="1"/>
    <s v="AVERAGE"/>
    <m/>
    <x v="1"/>
    <m/>
    <m/>
    <m/>
    <m/>
    <m/>
    <m/>
  </r>
  <r>
    <x v="66"/>
    <x v="1"/>
    <n v="22"/>
    <s v="ECE"/>
    <n v="8"/>
    <n v="81"/>
    <n v="1.3"/>
    <n v="71"/>
    <n v="28"/>
    <n v="21"/>
    <n v="63"/>
    <n v="59"/>
    <n v="72"/>
    <n v="55"/>
    <n v="54"/>
    <s v="Fail"/>
    <s v="C"/>
    <n v="1"/>
    <s v="AVERAGE"/>
    <m/>
    <x v="1"/>
    <m/>
    <m/>
    <m/>
    <m/>
    <m/>
    <m/>
  </r>
  <r>
    <x v="67"/>
    <x v="0"/>
    <n v="22"/>
    <s v="CSE"/>
    <n v="8"/>
    <n v="81"/>
    <n v="2.6"/>
    <n v="75"/>
    <n v="44"/>
    <n v="59"/>
    <n v="60"/>
    <n v="53"/>
    <n v="70"/>
    <n v="66"/>
    <n v="61.6"/>
    <s v="Pass"/>
    <s v="B"/>
    <n v="0"/>
    <s v="GOOD"/>
    <m/>
    <x v="0"/>
    <m/>
    <m/>
    <m/>
    <m/>
    <m/>
    <m/>
  </r>
  <r>
    <x v="68"/>
    <x v="1"/>
    <n v="21"/>
    <s v="ME"/>
    <n v="8"/>
    <n v="61"/>
    <n v="2.4"/>
    <n v="60"/>
    <n v="33"/>
    <n v="60"/>
    <n v="37"/>
    <n v="58"/>
    <n v="95"/>
    <n v="32"/>
    <n v="56.399999999999991"/>
    <s v="Fail"/>
    <s v="C"/>
    <n v="2"/>
    <s v="AVERAGE"/>
    <m/>
    <x v="1"/>
    <m/>
    <m/>
    <m/>
    <m/>
    <m/>
    <m/>
  </r>
  <r>
    <x v="69"/>
    <x v="1"/>
    <n v="24"/>
    <s v="CIVIL"/>
    <n v="7"/>
    <n v="88"/>
    <n v="1.9"/>
    <n v="88"/>
    <n v="40"/>
    <n v="67"/>
    <n v="76"/>
    <n v="77"/>
    <n v="86"/>
    <n v="97"/>
    <n v="80.600000000000009"/>
    <s v="Pass"/>
    <s v="A"/>
    <n v="0"/>
    <s v="EXCELLENT"/>
    <m/>
    <x v="0"/>
    <m/>
    <m/>
    <m/>
    <m/>
    <m/>
    <m/>
  </r>
  <r>
    <x v="70"/>
    <x v="0"/>
    <n v="24"/>
    <s v="ME"/>
    <n v="7"/>
    <n v="35"/>
    <n v="2.1"/>
    <n v="50"/>
    <n v="26"/>
    <n v="68"/>
    <n v="85"/>
    <n v="22"/>
    <n v="66"/>
    <n v="55"/>
    <n v="59.199999999999996"/>
    <s v="Fail"/>
    <s v="C"/>
    <n v="1"/>
    <s v="AVERAGE"/>
    <m/>
    <x v="1"/>
    <m/>
    <m/>
    <m/>
    <m/>
    <m/>
    <m/>
  </r>
  <r>
    <x v="71"/>
    <x v="0"/>
    <n v="23"/>
    <s v="ME"/>
    <n v="8"/>
    <n v="94"/>
    <n v="2.9"/>
    <n v="88"/>
    <n v="44"/>
    <n v="57"/>
    <n v="67"/>
    <n v="26"/>
    <n v="75"/>
    <n v="73"/>
    <n v="59.599999999999994"/>
    <s v="Fail"/>
    <s v="C"/>
    <n v="1"/>
    <s v="AVERAGE"/>
    <m/>
    <x v="1"/>
    <m/>
    <m/>
    <m/>
    <m/>
    <m/>
    <m/>
  </r>
  <r>
    <x v="72"/>
    <x v="0"/>
    <n v="22"/>
    <s v="ECE"/>
    <n v="7"/>
    <n v="86"/>
    <n v="4.3"/>
    <n v="76"/>
    <n v="44"/>
    <n v="88"/>
    <n v="66"/>
    <n v="89"/>
    <n v="84"/>
    <n v="35"/>
    <n v="72.399999999999991"/>
    <s v="Fail"/>
    <s v="B"/>
    <n v="1"/>
    <s v="GOOD"/>
    <m/>
    <x v="1"/>
    <m/>
    <m/>
    <m/>
    <m/>
    <m/>
    <m/>
  </r>
  <r>
    <x v="73"/>
    <x v="1"/>
    <n v="22"/>
    <s v="CSE"/>
    <n v="8"/>
    <n v="89"/>
    <n v="1.5"/>
    <n v="78"/>
    <n v="20"/>
    <n v="20"/>
    <n v="62"/>
    <n v="34"/>
    <n v="100"/>
    <n v="47"/>
    <n v="52.6"/>
    <s v="Fail"/>
    <s v="C"/>
    <n v="2"/>
    <s v="AVERAGE"/>
    <m/>
    <x v="1"/>
    <m/>
    <m/>
    <m/>
    <m/>
    <m/>
    <m/>
  </r>
  <r>
    <x v="74"/>
    <x v="1"/>
    <n v="23"/>
    <s v="CIVIL"/>
    <n v="8"/>
    <n v="82"/>
    <n v="3.5"/>
    <n v="94"/>
    <n v="33"/>
    <n v="55"/>
    <n v="15"/>
    <n v="44"/>
    <n v="50"/>
    <n v="32"/>
    <n v="39.200000000000003"/>
    <s v="Fail"/>
    <s v="D"/>
    <n v="2"/>
    <s v="POOR"/>
    <m/>
    <x v="1"/>
    <m/>
    <m/>
    <m/>
    <m/>
    <m/>
    <m/>
  </r>
  <r>
    <x v="75"/>
    <x v="1"/>
    <n v="21"/>
    <s v="ME"/>
    <n v="7"/>
    <n v="56"/>
    <n v="3.4"/>
    <n v="65"/>
    <n v="29"/>
    <n v="55"/>
    <n v="24"/>
    <n v="45"/>
    <n v="83"/>
    <n v="50"/>
    <n v="51.4"/>
    <s v="Fail"/>
    <s v="C"/>
    <n v="1"/>
    <s v="AVERAGE"/>
    <m/>
    <x v="1"/>
    <m/>
    <m/>
    <m/>
    <m/>
    <m/>
    <m/>
  </r>
  <r>
    <x v="76"/>
    <x v="1"/>
    <n v="21"/>
    <s v="ME"/>
    <n v="8"/>
    <n v="94"/>
    <n v="5.7"/>
    <n v="90"/>
    <n v="29"/>
    <n v="46"/>
    <n v="65"/>
    <n v="94"/>
    <n v="57"/>
    <n v="93"/>
    <n v="71"/>
    <s v="Pass"/>
    <s v="B"/>
    <n v="0"/>
    <s v="GOOD"/>
    <m/>
    <x v="0"/>
    <m/>
    <m/>
    <m/>
    <m/>
    <m/>
    <m/>
  </r>
  <r>
    <x v="77"/>
    <x v="0"/>
    <n v="22"/>
    <s v="ME"/>
    <n v="7"/>
    <n v="90"/>
    <n v="2.2999999999999998"/>
    <n v="88"/>
    <n v="30"/>
    <n v="30"/>
    <n v="93"/>
    <n v="48"/>
    <n v="74"/>
    <n v="38"/>
    <n v="56.599999999999994"/>
    <s v="Fail"/>
    <s v="C"/>
    <n v="2"/>
    <s v="AVERAGE"/>
    <m/>
    <x v="1"/>
    <m/>
    <m/>
    <m/>
    <m/>
    <m/>
    <m/>
  </r>
  <r>
    <x v="78"/>
    <x v="1"/>
    <n v="24"/>
    <s v="ECE"/>
    <n v="7"/>
    <n v="73"/>
    <n v="3.6"/>
    <n v="56"/>
    <n v="45"/>
    <n v="91"/>
    <n v="40"/>
    <n v="84"/>
    <n v="79"/>
    <n v="80"/>
    <n v="74.8"/>
    <s v="Pass"/>
    <s v="B"/>
    <n v="0"/>
    <s v="GOOD"/>
    <m/>
    <x v="0"/>
    <m/>
    <m/>
    <m/>
    <m/>
    <m/>
    <m/>
  </r>
  <r>
    <x v="79"/>
    <x v="1"/>
    <n v="22"/>
    <s v="CSE"/>
    <n v="8"/>
    <n v="86"/>
    <n v="3.9"/>
    <n v="98"/>
    <n v="22"/>
    <n v="64"/>
    <n v="35"/>
    <n v="30"/>
    <n v="96"/>
    <n v="31"/>
    <n v="51.2"/>
    <s v="Fail"/>
    <s v="C"/>
    <n v="3"/>
    <s v="AVERAGE"/>
    <m/>
    <x v="1"/>
    <m/>
    <m/>
    <m/>
    <m/>
    <m/>
    <m/>
  </r>
  <r>
    <x v="80"/>
    <x v="1"/>
    <n v="22"/>
    <s v="CIVIL"/>
    <n v="8"/>
    <n v="48"/>
    <n v="2.2999999999999998"/>
    <n v="65"/>
    <n v="48"/>
    <n v="83"/>
    <n v="90"/>
    <n v="95"/>
    <n v="60"/>
    <n v="66"/>
    <n v="78.8"/>
    <s v="Pass"/>
    <s v="B"/>
    <n v="0"/>
    <s v="GOOD"/>
    <m/>
    <x v="0"/>
    <m/>
    <m/>
    <m/>
    <m/>
    <m/>
    <m/>
  </r>
  <r>
    <x v="81"/>
    <x v="0"/>
    <n v="23"/>
    <s v="ECE"/>
    <n v="8"/>
    <n v="52"/>
    <n v="1.1000000000000001"/>
    <n v="64"/>
    <n v="30"/>
    <n v="74"/>
    <n v="78"/>
    <n v="49"/>
    <n v="79"/>
    <n v="60"/>
    <n v="68"/>
    <s v="Pass"/>
    <s v="B"/>
    <n v="0"/>
    <s v="GOOD"/>
    <m/>
    <x v="0"/>
    <m/>
    <m/>
    <m/>
    <m/>
    <m/>
    <m/>
  </r>
  <r>
    <x v="82"/>
    <x v="0"/>
    <n v="21"/>
    <s v="ME"/>
    <n v="8"/>
    <n v="86"/>
    <n v="3.3"/>
    <n v="82"/>
    <n v="23"/>
    <n v="49"/>
    <n v="43"/>
    <n v="73"/>
    <n v="87"/>
    <n v="42"/>
    <n v="58.8"/>
    <s v="Pass"/>
    <s v="C"/>
    <n v="0"/>
    <s v="AVERAGE"/>
    <m/>
    <x v="0"/>
    <m/>
    <m/>
    <m/>
    <m/>
    <m/>
    <m/>
  </r>
  <r>
    <x v="83"/>
    <x v="1"/>
    <n v="22"/>
    <s v="ME"/>
    <n v="7"/>
    <n v="73"/>
    <n v="3.7"/>
    <n v="67"/>
    <n v="39"/>
    <n v="82"/>
    <n v="30"/>
    <n v="87"/>
    <n v="62"/>
    <n v="75"/>
    <n v="67.2"/>
    <s v="Fail"/>
    <s v="B"/>
    <n v="1"/>
    <s v="GOOD"/>
    <m/>
    <x v="1"/>
    <m/>
    <m/>
    <m/>
    <m/>
    <m/>
    <m/>
  </r>
  <r>
    <x v="84"/>
    <x v="0"/>
    <n v="23"/>
    <s v="ME"/>
    <n v="8"/>
    <n v="82"/>
    <n v="2.2000000000000002"/>
    <n v="91"/>
    <n v="25"/>
    <n v="45"/>
    <n v="83"/>
    <n v="83"/>
    <n v="91"/>
    <n v="32"/>
    <n v="66.8"/>
    <s v="Fail"/>
    <s v="B"/>
    <n v="1"/>
    <s v="GOOD"/>
    <m/>
    <x v="1"/>
    <m/>
    <m/>
    <m/>
    <m/>
    <m/>
    <m/>
  </r>
  <r>
    <x v="85"/>
    <x v="0"/>
    <n v="24"/>
    <s v="CSE"/>
    <n v="7"/>
    <n v="83"/>
    <n v="3.4"/>
    <n v="80"/>
    <n v="18"/>
    <n v="64"/>
    <n v="43"/>
    <n v="97"/>
    <n v="78"/>
    <n v="31"/>
    <n v="62.6"/>
    <s v="Fail"/>
    <s v="B"/>
    <n v="1"/>
    <s v="GOOD"/>
    <m/>
    <x v="1"/>
    <m/>
    <m/>
    <m/>
    <m/>
    <m/>
    <m/>
  </r>
  <r>
    <x v="86"/>
    <x v="1"/>
    <n v="24"/>
    <s v="ME"/>
    <n v="7"/>
    <n v="79"/>
    <n v="4.9000000000000004"/>
    <n v="83"/>
    <n v="46"/>
    <n v="79"/>
    <n v="75"/>
    <n v="35"/>
    <n v="60"/>
    <n v="62"/>
    <n v="62.2"/>
    <s v="Fail"/>
    <s v="B"/>
    <n v="1"/>
    <s v="GOOD"/>
    <m/>
    <x v="1"/>
    <m/>
    <m/>
    <m/>
    <m/>
    <m/>
    <m/>
  </r>
  <r>
    <x v="87"/>
    <x v="0"/>
    <n v="23"/>
    <s v="ME"/>
    <n v="8"/>
    <n v="50"/>
    <n v="3.7"/>
    <n v="54"/>
    <n v="38"/>
    <n v="12"/>
    <n v="40"/>
    <n v="48"/>
    <n v="84"/>
    <n v="99"/>
    <n v="56.599999999999994"/>
    <s v="Fail"/>
    <s v="C"/>
    <n v="1"/>
    <s v="AVERAGE"/>
    <m/>
    <x v="1"/>
    <m/>
    <m/>
    <m/>
    <m/>
    <m/>
    <m/>
  </r>
  <r>
    <x v="88"/>
    <x v="1"/>
    <n v="24"/>
    <s v="ECE"/>
    <n v="8"/>
    <n v="66"/>
    <n v="2.2000000000000002"/>
    <n v="51"/>
    <n v="18"/>
    <n v="69"/>
    <n v="28"/>
    <n v="97"/>
    <n v="69"/>
    <n v="49"/>
    <n v="62.4"/>
    <s v="Fail"/>
    <s v="B"/>
    <n v="1"/>
    <s v="GOOD"/>
    <m/>
    <x v="1"/>
    <m/>
    <m/>
    <m/>
    <m/>
    <m/>
    <m/>
  </r>
  <r>
    <x v="89"/>
    <x v="0"/>
    <n v="22"/>
    <s v="ME"/>
    <n v="8"/>
    <n v="83"/>
    <n v="4.3"/>
    <n v="74"/>
    <n v="42"/>
    <n v="58"/>
    <n v="28"/>
    <n v="24"/>
    <n v="60"/>
    <n v="86"/>
    <n v="51.2"/>
    <s v="Fail"/>
    <s v="C"/>
    <n v="2"/>
    <s v="AVERAGE"/>
    <m/>
    <x v="1"/>
    <m/>
    <m/>
    <m/>
    <m/>
    <m/>
    <m/>
  </r>
  <r>
    <x v="90"/>
    <x v="1"/>
    <n v="22"/>
    <s v="CIVIL"/>
    <n v="7"/>
    <n v="93"/>
    <n v="5.3"/>
    <n v="95"/>
    <n v="38"/>
    <n v="92"/>
    <n v="87"/>
    <n v="57"/>
    <n v="50"/>
    <n v="53"/>
    <n v="67.800000000000011"/>
    <s v="Pass"/>
    <s v="B"/>
    <n v="0"/>
    <s v="GOOD"/>
    <m/>
    <x v="0"/>
    <m/>
    <m/>
    <m/>
    <m/>
    <m/>
    <m/>
  </r>
  <r>
    <x v="91"/>
    <x v="1"/>
    <n v="24"/>
    <s v="CIVIL"/>
    <n v="8"/>
    <n v="78"/>
    <n v="1.6"/>
    <n v="85"/>
    <n v="44"/>
    <n v="63"/>
    <n v="23"/>
    <n v="36"/>
    <n v="81"/>
    <n v="33"/>
    <n v="47.199999999999996"/>
    <s v="Fail"/>
    <s v="D"/>
    <n v="3"/>
    <s v="AVERAGE"/>
    <m/>
    <x v="1"/>
    <m/>
    <m/>
    <m/>
    <m/>
    <m/>
    <m/>
  </r>
  <r>
    <x v="92"/>
    <x v="1"/>
    <n v="23"/>
    <s v="ECE"/>
    <n v="8"/>
    <n v="83"/>
    <n v="5.6"/>
    <n v="92"/>
    <n v="20"/>
    <n v="32"/>
    <n v="82"/>
    <n v="85"/>
    <n v="90"/>
    <n v="89"/>
    <n v="75.599999999999994"/>
    <s v="Fail"/>
    <s v="B"/>
    <n v="1"/>
    <s v="GOOD"/>
    <m/>
    <x v="1"/>
    <m/>
    <m/>
    <m/>
    <m/>
    <m/>
    <m/>
  </r>
  <r>
    <x v="93"/>
    <x v="0"/>
    <n v="22"/>
    <s v="CIVIL"/>
    <n v="8"/>
    <n v="67"/>
    <n v="3.3"/>
    <n v="57"/>
    <n v="49"/>
    <n v="33"/>
    <n v="21"/>
    <n v="39"/>
    <n v="88"/>
    <n v="99"/>
    <n v="56.000000000000007"/>
    <s v="Fail"/>
    <s v="C"/>
    <n v="3"/>
    <s v="AVERAGE"/>
    <m/>
    <x v="1"/>
    <m/>
    <m/>
    <m/>
    <m/>
    <m/>
    <m/>
  </r>
  <r>
    <x v="94"/>
    <x v="1"/>
    <n v="23"/>
    <s v="ECE"/>
    <n v="8"/>
    <n v="68"/>
    <n v="5.9"/>
    <n v="63"/>
    <n v="27"/>
    <n v="57"/>
    <n v="79"/>
    <n v="66"/>
    <n v="78"/>
    <n v="40"/>
    <n v="64"/>
    <s v="Pass"/>
    <s v="B"/>
    <n v="0"/>
    <s v="GOOD"/>
    <m/>
    <x v="0"/>
    <m/>
    <m/>
    <m/>
    <m/>
    <m/>
    <m/>
  </r>
  <r>
    <x v="95"/>
    <x v="1"/>
    <n v="21"/>
    <s v="ECE"/>
    <n v="8"/>
    <n v="78"/>
    <n v="1.6"/>
    <n v="74"/>
    <n v="39"/>
    <n v="10"/>
    <n v="89"/>
    <n v="85"/>
    <n v="83"/>
    <n v="60"/>
    <n v="65.400000000000006"/>
    <s v="Fail"/>
    <s v="B"/>
    <n v="1"/>
    <s v="GOOD"/>
    <m/>
    <x v="1"/>
    <m/>
    <m/>
    <m/>
    <m/>
    <m/>
    <m/>
  </r>
  <r>
    <x v="96"/>
    <x v="1"/>
    <n v="22"/>
    <s v="ME"/>
    <n v="8"/>
    <n v="68"/>
    <n v="1.4"/>
    <n v="55"/>
    <n v="28"/>
    <n v="80"/>
    <n v="54"/>
    <n v="32"/>
    <n v="86"/>
    <n v="41"/>
    <n v="58.599999999999994"/>
    <s v="Fail"/>
    <s v="C"/>
    <n v="1"/>
    <s v="AVERAGE"/>
    <m/>
    <x v="1"/>
    <m/>
    <m/>
    <m/>
    <m/>
    <m/>
    <m/>
  </r>
  <r>
    <x v="97"/>
    <x v="0"/>
    <n v="22"/>
    <s v="CIVIL"/>
    <n v="8"/>
    <n v="91"/>
    <n v="4.3"/>
    <n v="97"/>
    <n v="44"/>
    <n v="47"/>
    <n v="62"/>
    <n v="63"/>
    <n v="71"/>
    <n v="61"/>
    <n v="60.8"/>
    <s v="Pass"/>
    <s v="B"/>
    <n v="0"/>
    <s v="GOOD"/>
    <m/>
    <x v="0"/>
    <m/>
    <m/>
    <m/>
    <m/>
    <m/>
    <m/>
  </r>
  <r>
    <x v="98"/>
    <x v="0"/>
    <n v="23"/>
    <s v="CSE"/>
    <n v="8"/>
    <n v="66"/>
    <n v="5.6"/>
    <n v="55"/>
    <n v="45"/>
    <n v="25"/>
    <n v="71"/>
    <n v="81"/>
    <n v="51"/>
    <n v="98"/>
    <n v="65.2"/>
    <s v="Fail"/>
    <s v="B"/>
    <n v="1"/>
    <s v="GOOD"/>
    <m/>
    <x v="1"/>
    <m/>
    <m/>
    <m/>
    <m/>
    <m/>
    <m/>
  </r>
  <r>
    <x v="99"/>
    <x v="0"/>
    <n v="24"/>
    <s v="ECE"/>
    <n v="8"/>
    <n v="85"/>
    <n v="4.5999999999999996"/>
    <n v="89"/>
    <n v="31"/>
    <n v="14"/>
    <n v="58"/>
    <n v="85"/>
    <n v="73"/>
    <n v="89"/>
    <n v="63.800000000000004"/>
    <s v="Fail"/>
    <s v="B"/>
    <n v="1"/>
    <s v="GOOD"/>
    <m/>
    <x v="1"/>
    <m/>
    <m/>
    <m/>
    <m/>
    <m/>
    <m/>
  </r>
  <r>
    <x v="100"/>
    <x v="0"/>
    <n v="24"/>
    <s v="CIVIL"/>
    <n v="7"/>
    <n v="65"/>
    <n v="5.7"/>
    <n v="55"/>
    <n v="50"/>
    <n v="55"/>
    <n v="56"/>
    <n v="47"/>
    <n v="73"/>
    <n v="60"/>
    <n v="58.199999999999996"/>
    <s v="Pass"/>
    <s v="C"/>
    <n v="0"/>
    <s v="AVERAGE"/>
    <m/>
    <x v="0"/>
    <m/>
    <m/>
    <m/>
    <m/>
    <m/>
    <m/>
  </r>
  <r>
    <x v="101"/>
    <x v="0"/>
    <n v="23"/>
    <s v="CSE"/>
    <n v="7"/>
    <n v="82"/>
    <n v="1.9"/>
    <n v="78"/>
    <n v="19"/>
    <n v="24"/>
    <n v="48"/>
    <n v="60"/>
    <n v="77"/>
    <n v="92"/>
    <n v="60.199999999999996"/>
    <s v="Fail"/>
    <s v="B"/>
    <n v="1"/>
    <s v="GOOD"/>
    <m/>
    <x v="1"/>
    <m/>
    <m/>
    <m/>
    <m/>
    <m/>
    <m/>
  </r>
  <r>
    <x v="102"/>
    <x v="0"/>
    <n v="22"/>
    <s v="ME"/>
    <n v="8"/>
    <n v="78"/>
    <n v="2.7"/>
    <n v="77"/>
    <n v="20"/>
    <n v="76"/>
    <n v="47"/>
    <n v="34"/>
    <n v="72"/>
    <n v="79"/>
    <n v="61.6"/>
    <s v="Fail"/>
    <s v="B"/>
    <n v="1"/>
    <s v="GOOD"/>
    <m/>
    <x v="1"/>
    <m/>
    <m/>
    <m/>
    <m/>
    <m/>
    <m/>
  </r>
  <r>
    <x v="103"/>
    <x v="0"/>
    <n v="22"/>
    <s v="ECE"/>
    <n v="8"/>
    <n v="85"/>
    <n v="5.9"/>
    <n v="99"/>
    <n v="29"/>
    <n v="95"/>
    <n v="18"/>
    <n v="55"/>
    <n v="84"/>
    <n v="41"/>
    <n v="58.599999999999994"/>
    <s v="Fail"/>
    <s v="C"/>
    <n v="1"/>
    <s v="AVERAGE"/>
    <m/>
    <x v="1"/>
    <m/>
    <m/>
    <m/>
    <m/>
    <m/>
    <m/>
  </r>
  <r>
    <x v="104"/>
    <x v="0"/>
    <n v="21"/>
    <s v="CSE"/>
    <n v="8"/>
    <n v="57"/>
    <n v="2.1"/>
    <n v="60"/>
    <n v="25"/>
    <n v="60"/>
    <n v="40"/>
    <n v="84"/>
    <n v="90"/>
    <n v="90"/>
    <n v="72.8"/>
    <s v="Pass"/>
    <s v="B"/>
    <n v="0"/>
    <s v="GOOD"/>
    <m/>
    <x v="0"/>
    <m/>
    <m/>
    <m/>
    <m/>
    <m/>
    <m/>
  </r>
  <r>
    <x v="105"/>
    <x v="1"/>
    <n v="22"/>
    <s v="CIVIL"/>
    <n v="8"/>
    <n v="95"/>
    <n v="5"/>
    <n v="94"/>
    <n v="20"/>
    <n v="62"/>
    <n v="80"/>
    <n v="95"/>
    <n v="56"/>
    <n v="47"/>
    <n v="68"/>
    <s v="Pass"/>
    <s v="B"/>
    <n v="0"/>
    <s v="GOOD"/>
    <m/>
    <x v="0"/>
    <m/>
    <m/>
    <m/>
    <m/>
    <m/>
    <m/>
  </r>
  <r>
    <x v="106"/>
    <x v="1"/>
    <n v="24"/>
    <s v="CSE"/>
    <n v="7"/>
    <n v="65"/>
    <n v="5.6"/>
    <n v="66"/>
    <n v="22"/>
    <n v="47"/>
    <n v="60"/>
    <n v="24"/>
    <n v="51"/>
    <n v="35"/>
    <n v="43.4"/>
    <s v="Fail"/>
    <s v="D"/>
    <n v="2"/>
    <s v="AVERAGE"/>
    <m/>
    <x v="1"/>
    <m/>
    <m/>
    <m/>
    <m/>
    <m/>
    <m/>
  </r>
  <r>
    <x v="107"/>
    <x v="1"/>
    <n v="22"/>
    <s v="CSE"/>
    <n v="7"/>
    <n v="24"/>
    <n v="3"/>
    <n v="50"/>
    <n v="40"/>
    <n v="18"/>
    <n v="52"/>
    <n v="42"/>
    <n v="88"/>
    <n v="70"/>
    <n v="54"/>
    <s v="Fail"/>
    <s v="C"/>
    <n v="1"/>
    <s v="AVERAGE"/>
    <m/>
    <x v="1"/>
    <m/>
    <m/>
    <m/>
    <m/>
    <m/>
    <m/>
  </r>
  <r>
    <x v="108"/>
    <x v="1"/>
    <n v="22"/>
    <s v="ECE"/>
    <n v="7"/>
    <n v="85"/>
    <n v="5.8"/>
    <n v="97"/>
    <n v="32"/>
    <n v="66"/>
    <n v="31"/>
    <n v="41"/>
    <n v="72"/>
    <n v="68"/>
    <n v="55.600000000000009"/>
    <s v="Fail"/>
    <s v="C"/>
    <n v="1"/>
    <s v="AVERAGE"/>
    <m/>
    <x v="1"/>
    <m/>
    <m/>
    <m/>
    <m/>
    <m/>
    <m/>
  </r>
  <r>
    <x v="109"/>
    <x v="0"/>
    <n v="23"/>
    <s v="CSE"/>
    <n v="8"/>
    <n v="89"/>
    <n v="4"/>
    <n v="84"/>
    <n v="25"/>
    <n v="44"/>
    <n v="76"/>
    <n v="47"/>
    <n v="81"/>
    <n v="80"/>
    <n v="65.600000000000009"/>
    <s v="Pass"/>
    <s v="B"/>
    <n v="0"/>
    <s v="GOOD"/>
    <m/>
    <x v="0"/>
    <m/>
    <m/>
    <m/>
    <m/>
    <m/>
    <m/>
  </r>
  <r>
    <x v="110"/>
    <x v="1"/>
    <n v="23"/>
    <s v="ECE"/>
    <n v="7"/>
    <n v="46"/>
    <n v="3.1"/>
    <n v="62"/>
    <n v="45"/>
    <n v="27"/>
    <n v="86"/>
    <n v="85"/>
    <n v="93"/>
    <n v="62"/>
    <n v="70.599999999999994"/>
    <s v="Fail"/>
    <s v="B"/>
    <n v="1"/>
    <s v="GOOD"/>
    <m/>
    <x v="1"/>
    <m/>
    <m/>
    <m/>
    <m/>
    <m/>
    <m/>
  </r>
  <r>
    <x v="111"/>
    <x v="1"/>
    <n v="22"/>
    <s v="CIVIL"/>
    <n v="8"/>
    <n v="80"/>
    <n v="1.8"/>
    <n v="99"/>
    <n v="40"/>
    <n v="52"/>
    <n v="22"/>
    <n v="47"/>
    <n v="96"/>
    <n v="99"/>
    <n v="63.2"/>
    <s v="Fail"/>
    <s v="B"/>
    <n v="1"/>
    <s v="GOOD"/>
    <m/>
    <x v="1"/>
    <m/>
    <m/>
    <m/>
    <m/>
    <m/>
    <m/>
  </r>
  <r>
    <x v="112"/>
    <x v="0"/>
    <n v="22"/>
    <s v="ECE"/>
    <n v="8"/>
    <n v="95"/>
    <n v="1.1000000000000001"/>
    <n v="82"/>
    <n v="26"/>
    <n v="93"/>
    <n v="58"/>
    <n v="55"/>
    <n v="97"/>
    <n v="56"/>
    <n v="71.8"/>
    <s v="Pass"/>
    <s v="B"/>
    <n v="0"/>
    <s v="GOOD"/>
    <m/>
    <x v="0"/>
    <m/>
    <m/>
    <m/>
    <m/>
    <m/>
    <m/>
  </r>
  <r>
    <x v="113"/>
    <x v="0"/>
    <n v="23"/>
    <s v="CSE"/>
    <n v="7"/>
    <n v="89"/>
    <n v="1.7"/>
    <n v="73"/>
    <n v="43"/>
    <n v="90"/>
    <n v="49"/>
    <n v="86"/>
    <n v="88"/>
    <n v="35"/>
    <n v="69.599999999999994"/>
    <s v="Fail"/>
    <s v="B"/>
    <n v="1"/>
    <s v="GOOD"/>
    <m/>
    <x v="1"/>
    <m/>
    <m/>
    <m/>
    <m/>
    <m/>
    <m/>
  </r>
  <r>
    <x v="114"/>
    <x v="0"/>
    <n v="24"/>
    <s v="ECE"/>
    <n v="7"/>
    <n v="49"/>
    <n v="4.0999999999999996"/>
    <n v="54"/>
    <n v="32"/>
    <n v="30"/>
    <n v="58"/>
    <n v="71"/>
    <n v="91"/>
    <n v="79"/>
    <n v="65.8"/>
    <s v="Fail"/>
    <s v="B"/>
    <n v="1"/>
    <s v="GOOD"/>
    <m/>
    <x v="1"/>
    <m/>
    <m/>
    <m/>
    <m/>
    <m/>
    <m/>
  </r>
  <r>
    <x v="115"/>
    <x v="1"/>
    <n v="22"/>
    <s v="ECE"/>
    <n v="7"/>
    <n v="89"/>
    <n v="5.9"/>
    <n v="73"/>
    <n v="47"/>
    <n v="38"/>
    <n v="83"/>
    <n v="66"/>
    <n v="87"/>
    <n v="42"/>
    <n v="63.2"/>
    <s v="Fail"/>
    <s v="B"/>
    <n v="1"/>
    <s v="GOOD"/>
    <m/>
    <x v="1"/>
    <m/>
    <m/>
    <m/>
    <m/>
    <m/>
    <m/>
  </r>
  <r>
    <x v="116"/>
    <x v="1"/>
    <n v="22"/>
    <s v="CSE"/>
    <n v="8"/>
    <n v="77"/>
    <n v="4"/>
    <n v="86"/>
    <n v="27"/>
    <n v="41"/>
    <n v="36"/>
    <n v="61"/>
    <n v="60"/>
    <n v="68"/>
    <n v="53.2"/>
    <s v="Fail"/>
    <s v="C"/>
    <n v="1"/>
    <s v="AVERAGE"/>
    <m/>
    <x v="1"/>
    <m/>
    <m/>
    <m/>
    <m/>
    <m/>
    <m/>
  </r>
  <r>
    <x v="117"/>
    <x v="0"/>
    <n v="21"/>
    <s v="CIVIL"/>
    <n v="8"/>
    <n v="85"/>
    <n v="2.2999999999999998"/>
    <n v="95"/>
    <n v="36"/>
    <n v="75"/>
    <n v="70"/>
    <n v="90"/>
    <n v="78"/>
    <n v="94"/>
    <n v="81.399999999999991"/>
    <s v="Pass"/>
    <s v="A"/>
    <n v="0"/>
    <s v="EXCELLENT"/>
    <m/>
    <x v="0"/>
    <m/>
    <m/>
    <m/>
    <m/>
    <m/>
    <m/>
  </r>
  <r>
    <x v="118"/>
    <x v="0"/>
    <n v="21"/>
    <s v="ME"/>
    <n v="7"/>
    <n v="79"/>
    <n v="1.9"/>
    <n v="81"/>
    <n v="26"/>
    <n v="41"/>
    <n v="10"/>
    <n v="86"/>
    <n v="84"/>
    <n v="58"/>
    <n v="55.800000000000004"/>
    <s v="Fail"/>
    <s v="C"/>
    <n v="1"/>
    <s v="AVERAGE"/>
    <m/>
    <x v="1"/>
    <m/>
    <m/>
    <m/>
    <m/>
    <m/>
    <m/>
  </r>
  <r>
    <x v="119"/>
    <x v="1"/>
    <n v="24"/>
    <s v="CIVIL"/>
    <n v="8"/>
    <n v="93"/>
    <n v="5.9"/>
    <n v="84"/>
    <n v="46"/>
    <n v="24"/>
    <n v="68"/>
    <n v="22"/>
    <n v="83"/>
    <n v="93"/>
    <n v="57.999999999999993"/>
    <s v="Fail"/>
    <s v="C"/>
    <n v="2"/>
    <s v="AVERAGE"/>
    <m/>
    <x v="1"/>
    <m/>
    <m/>
    <m/>
    <m/>
    <m/>
    <m/>
  </r>
  <r>
    <x v="120"/>
    <x v="1"/>
    <n v="23"/>
    <s v="CIVIL"/>
    <n v="8"/>
    <n v="56"/>
    <n v="4.5999999999999996"/>
    <n v="68"/>
    <n v="34"/>
    <n v="27"/>
    <n v="32"/>
    <n v="57"/>
    <n v="73"/>
    <n v="34"/>
    <n v="44.6"/>
    <s v="Fail"/>
    <s v="D"/>
    <n v="3"/>
    <s v="AVERAGE"/>
    <m/>
    <x v="1"/>
    <m/>
    <m/>
    <m/>
    <m/>
    <m/>
    <m/>
  </r>
  <r>
    <x v="121"/>
    <x v="1"/>
    <n v="23"/>
    <s v="CIVIL"/>
    <n v="7"/>
    <n v="92"/>
    <n v="5.3"/>
    <n v="71"/>
    <n v="35"/>
    <n v="35"/>
    <n v="30"/>
    <n v="37"/>
    <n v="93"/>
    <n v="84"/>
    <n v="55.800000000000004"/>
    <s v="Fail"/>
    <s v="C"/>
    <n v="3"/>
    <s v="AVERAGE"/>
    <m/>
    <x v="1"/>
    <m/>
    <m/>
    <m/>
    <m/>
    <m/>
    <m/>
  </r>
  <r>
    <x v="122"/>
    <x v="1"/>
    <n v="23"/>
    <s v="ME"/>
    <n v="8"/>
    <n v="94"/>
    <n v="1.7"/>
    <n v="96"/>
    <n v="39"/>
    <n v="51"/>
    <n v="71"/>
    <n v="78"/>
    <n v="97"/>
    <n v="39"/>
    <n v="67.2"/>
    <s v="Fail"/>
    <s v="B"/>
    <n v="1"/>
    <s v="GOOD"/>
    <m/>
    <x v="1"/>
    <m/>
    <m/>
    <m/>
    <m/>
    <m/>
    <m/>
  </r>
  <r>
    <x v="123"/>
    <x v="0"/>
    <n v="24"/>
    <s v="ECE"/>
    <n v="8"/>
    <n v="79"/>
    <n v="1.5"/>
    <n v="90"/>
    <n v="19"/>
    <n v="20"/>
    <n v="62"/>
    <n v="27"/>
    <n v="90"/>
    <n v="41"/>
    <n v="48"/>
    <s v="Fail"/>
    <s v="D"/>
    <n v="2"/>
    <s v="AVERAGE"/>
    <m/>
    <x v="1"/>
    <m/>
    <m/>
    <m/>
    <m/>
    <m/>
    <m/>
  </r>
  <r>
    <x v="124"/>
    <x v="1"/>
    <n v="21"/>
    <s v="ME"/>
    <n v="8"/>
    <n v="91"/>
    <n v="1.1000000000000001"/>
    <n v="76"/>
    <n v="49"/>
    <n v="11"/>
    <n v="73"/>
    <n v="53"/>
    <n v="90"/>
    <n v="69"/>
    <n v="59.199999999999996"/>
    <s v="Fail"/>
    <s v="C"/>
    <n v="1"/>
    <s v="AVERAGE"/>
    <m/>
    <x v="1"/>
    <m/>
    <m/>
    <m/>
    <m/>
    <m/>
    <m/>
  </r>
  <r>
    <x v="125"/>
    <x v="1"/>
    <n v="21"/>
    <s v="ECE"/>
    <n v="7"/>
    <n v="91"/>
    <n v="3.8"/>
    <n v="80"/>
    <n v="47"/>
    <n v="68"/>
    <n v="95"/>
    <n v="53"/>
    <n v="96"/>
    <n v="63"/>
    <n v="75"/>
    <s v="Pass"/>
    <s v="B"/>
    <n v="0"/>
    <s v="GOOD"/>
    <m/>
    <x v="0"/>
    <m/>
    <m/>
    <m/>
    <m/>
    <m/>
    <m/>
  </r>
  <r>
    <x v="126"/>
    <x v="0"/>
    <n v="22"/>
    <s v="ECE"/>
    <n v="8"/>
    <n v="95"/>
    <n v="2.2000000000000002"/>
    <n v="95"/>
    <n v="33"/>
    <n v="14"/>
    <n v="74"/>
    <n v="61"/>
    <n v="69"/>
    <n v="56"/>
    <n v="54.800000000000004"/>
    <s v="Fail"/>
    <s v="C"/>
    <n v="1"/>
    <s v="AVERAGE"/>
    <m/>
    <x v="1"/>
    <m/>
    <m/>
    <m/>
    <m/>
    <m/>
    <m/>
  </r>
  <r>
    <x v="127"/>
    <x v="1"/>
    <n v="24"/>
    <s v="CIVIL"/>
    <n v="8"/>
    <n v="92"/>
    <n v="3"/>
    <n v="86"/>
    <n v="37"/>
    <n v="88"/>
    <n v="91"/>
    <n v="56"/>
    <n v="98"/>
    <n v="55"/>
    <n v="77.600000000000009"/>
    <s v="Pass"/>
    <s v="B"/>
    <n v="0"/>
    <s v="GOOD"/>
    <m/>
    <x v="0"/>
    <m/>
    <m/>
    <m/>
    <m/>
    <m/>
    <m/>
  </r>
  <r>
    <x v="128"/>
    <x v="1"/>
    <n v="21"/>
    <s v="CIVIL"/>
    <n v="7"/>
    <n v="95"/>
    <n v="2.4"/>
    <n v="87"/>
    <n v="44"/>
    <n v="20"/>
    <n v="14"/>
    <n v="84"/>
    <n v="69"/>
    <n v="91"/>
    <n v="55.600000000000009"/>
    <s v="Fail"/>
    <s v="C"/>
    <n v="2"/>
    <s v="AVERAGE"/>
    <m/>
    <x v="1"/>
    <m/>
    <m/>
    <m/>
    <m/>
    <m/>
    <m/>
  </r>
  <r>
    <x v="129"/>
    <x v="0"/>
    <n v="21"/>
    <s v="CIVIL"/>
    <n v="7"/>
    <n v="85"/>
    <n v="3.2"/>
    <n v="98"/>
    <n v="38"/>
    <n v="46"/>
    <n v="24"/>
    <n v="66"/>
    <n v="95"/>
    <n v="38"/>
    <n v="53.800000000000004"/>
    <s v="Fail"/>
    <s v="C"/>
    <n v="2"/>
    <s v="AVERAGE"/>
    <m/>
    <x v="1"/>
    <m/>
    <m/>
    <m/>
    <m/>
    <m/>
    <m/>
  </r>
  <r>
    <x v="130"/>
    <x v="1"/>
    <n v="24"/>
    <s v="CSE"/>
    <n v="7"/>
    <n v="95"/>
    <n v="2.6"/>
    <n v="100"/>
    <n v="18"/>
    <n v="20"/>
    <n v="41"/>
    <n v="48"/>
    <n v="57"/>
    <n v="68"/>
    <n v="46.800000000000004"/>
    <s v="Fail"/>
    <s v="D"/>
    <n v="1"/>
    <s v="AVERAGE"/>
    <m/>
    <x v="1"/>
    <m/>
    <m/>
    <m/>
    <m/>
    <m/>
    <m/>
  </r>
  <r>
    <x v="131"/>
    <x v="1"/>
    <n v="23"/>
    <s v="ECE"/>
    <n v="7"/>
    <n v="82"/>
    <n v="4.5999999999999996"/>
    <n v="73"/>
    <n v="21"/>
    <n v="21"/>
    <n v="43"/>
    <n v="50"/>
    <n v="50"/>
    <n v="47"/>
    <n v="42.199999999999996"/>
    <s v="Fail"/>
    <s v="D"/>
    <n v="1"/>
    <s v="AVERAGE"/>
    <m/>
    <x v="1"/>
    <m/>
    <m/>
    <m/>
    <m/>
    <m/>
    <m/>
  </r>
  <r>
    <x v="132"/>
    <x v="0"/>
    <n v="21"/>
    <s v="ECE"/>
    <n v="7"/>
    <n v="89"/>
    <n v="2.8"/>
    <n v="93"/>
    <n v="47"/>
    <n v="70"/>
    <n v="35"/>
    <n v="67"/>
    <n v="88"/>
    <n v="64"/>
    <n v="64.8"/>
    <s v="Fail"/>
    <s v="B"/>
    <n v="1"/>
    <s v="GOOD"/>
    <m/>
    <x v="1"/>
    <m/>
    <m/>
    <m/>
    <m/>
    <m/>
    <m/>
  </r>
  <r>
    <x v="133"/>
    <x v="1"/>
    <n v="22"/>
    <s v="CIVIL"/>
    <n v="7"/>
    <n v="76"/>
    <n v="4.2"/>
    <n v="87"/>
    <n v="29"/>
    <n v="57"/>
    <n v="39"/>
    <n v="31"/>
    <n v="74"/>
    <n v="75"/>
    <n v="55.2"/>
    <s v="Fail"/>
    <s v="C"/>
    <n v="2"/>
    <s v="AVERAGE"/>
    <m/>
    <x v="1"/>
    <m/>
    <m/>
    <m/>
    <m/>
    <m/>
    <m/>
  </r>
  <r>
    <x v="134"/>
    <x v="0"/>
    <n v="21"/>
    <s v="CSE"/>
    <n v="7"/>
    <n v="92"/>
    <n v="4.0999999999999996"/>
    <n v="91"/>
    <n v="22"/>
    <n v="36"/>
    <n v="25"/>
    <n v="83"/>
    <n v="100"/>
    <n v="52"/>
    <n v="59.199999999999996"/>
    <s v="Fail"/>
    <s v="C"/>
    <n v="2"/>
    <s v="AVERAGE"/>
    <m/>
    <x v="1"/>
    <m/>
    <m/>
    <m/>
    <m/>
    <m/>
    <m/>
  </r>
  <r>
    <x v="135"/>
    <x v="1"/>
    <n v="21"/>
    <s v="ECE"/>
    <n v="7"/>
    <n v="83"/>
    <n v="5.9"/>
    <n v="94"/>
    <n v="19"/>
    <n v="51"/>
    <n v="86"/>
    <n v="82"/>
    <n v="82"/>
    <n v="67"/>
    <n v="73.599999999999994"/>
    <s v="Pass"/>
    <s v="B"/>
    <n v="0"/>
    <s v="GOOD"/>
    <m/>
    <x v="0"/>
    <m/>
    <m/>
    <m/>
    <m/>
    <m/>
    <m/>
  </r>
  <r>
    <x v="136"/>
    <x v="0"/>
    <n v="21"/>
    <s v="ECE"/>
    <n v="7"/>
    <n v="78"/>
    <n v="2.9"/>
    <n v="92"/>
    <n v="31"/>
    <n v="32"/>
    <n v="89"/>
    <n v="23"/>
    <n v="80"/>
    <n v="34"/>
    <n v="51.6"/>
    <s v="Fail"/>
    <s v="C"/>
    <n v="3"/>
    <s v="AVERAGE"/>
    <m/>
    <x v="1"/>
    <m/>
    <m/>
    <m/>
    <m/>
    <m/>
    <m/>
  </r>
  <r>
    <x v="137"/>
    <x v="0"/>
    <n v="21"/>
    <s v="ME"/>
    <n v="7"/>
    <n v="62"/>
    <n v="5.9"/>
    <n v="64"/>
    <n v="23"/>
    <n v="45"/>
    <n v="34"/>
    <n v="65"/>
    <n v="66"/>
    <n v="69"/>
    <n v="55.800000000000004"/>
    <s v="Fail"/>
    <s v="C"/>
    <n v="1"/>
    <s v="AVERAGE"/>
    <m/>
    <x v="1"/>
    <m/>
    <m/>
    <m/>
    <m/>
    <m/>
    <m/>
  </r>
  <r>
    <x v="138"/>
    <x v="1"/>
    <n v="21"/>
    <s v="CSE"/>
    <n v="8"/>
    <n v="90"/>
    <n v="5.0999999999999996"/>
    <n v="99"/>
    <n v="31"/>
    <n v="60"/>
    <n v="78"/>
    <n v="66"/>
    <n v="60"/>
    <n v="52"/>
    <n v="63.2"/>
    <s v="Pass"/>
    <s v="B"/>
    <n v="0"/>
    <s v="GOOD"/>
    <m/>
    <x v="0"/>
    <m/>
    <m/>
    <m/>
    <m/>
    <m/>
    <m/>
  </r>
  <r>
    <x v="139"/>
    <x v="0"/>
    <n v="23"/>
    <s v="ME"/>
    <n v="7"/>
    <n v="52"/>
    <n v="2.5"/>
    <n v="59"/>
    <n v="39"/>
    <n v="58"/>
    <n v="75"/>
    <n v="92"/>
    <n v="98"/>
    <n v="89"/>
    <n v="82.399999999999991"/>
    <s v="Pass"/>
    <s v="A"/>
    <n v="0"/>
    <s v="EXCELLENT"/>
    <m/>
    <x v="0"/>
    <m/>
    <m/>
    <m/>
    <m/>
    <m/>
    <m/>
  </r>
  <r>
    <x v="140"/>
    <x v="1"/>
    <n v="24"/>
    <s v="ECE"/>
    <n v="7"/>
    <n v="92"/>
    <n v="2.2000000000000002"/>
    <n v="85"/>
    <n v="34"/>
    <n v="33"/>
    <n v="21"/>
    <n v="56"/>
    <n v="65"/>
    <n v="38"/>
    <n v="42.6"/>
    <s v="Fail"/>
    <s v="D"/>
    <n v="3"/>
    <s v="AVERAGE"/>
    <m/>
    <x v="1"/>
    <m/>
    <m/>
    <m/>
    <m/>
    <m/>
    <m/>
  </r>
  <r>
    <x v="141"/>
    <x v="0"/>
    <n v="21"/>
    <s v="CSE"/>
    <n v="8"/>
    <n v="74"/>
    <n v="1.1000000000000001"/>
    <n v="67"/>
    <n v="41"/>
    <n v="24"/>
    <n v="24"/>
    <n v="29"/>
    <n v="79"/>
    <n v="68"/>
    <n v="44.800000000000004"/>
    <s v="Fail"/>
    <s v="D"/>
    <n v="3"/>
    <s v="AVERAGE"/>
    <m/>
    <x v="1"/>
    <m/>
    <m/>
    <m/>
    <m/>
    <m/>
    <m/>
  </r>
  <r>
    <x v="142"/>
    <x v="0"/>
    <n v="23"/>
    <s v="ECE"/>
    <n v="7"/>
    <n v="72"/>
    <n v="3.7"/>
    <n v="67"/>
    <n v="26"/>
    <n v="42"/>
    <n v="30"/>
    <n v="57"/>
    <n v="89"/>
    <n v="31"/>
    <n v="49.8"/>
    <s v="Fail"/>
    <s v="D"/>
    <n v="2"/>
    <s v="AVERAGE"/>
    <m/>
    <x v="1"/>
    <m/>
    <m/>
    <m/>
    <m/>
    <m/>
    <m/>
  </r>
  <r>
    <x v="143"/>
    <x v="1"/>
    <n v="23"/>
    <s v="CSE"/>
    <n v="8"/>
    <n v="80"/>
    <n v="2.8"/>
    <n v="84"/>
    <n v="21"/>
    <n v="77"/>
    <n v="19"/>
    <n v="69"/>
    <n v="94"/>
    <n v="82"/>
    <n v="68.2"/>
    <s v="Fail"/>
    <s v="B"/>
    <n v="1"/>
    <s v="GOOD"/>
    <m/>
    <x v="1"/>
    <m/>
    <m/>
    <m/>
    <m/>
    <m/>
    <m/>
  </r>
  <r>
    <x v="144"/>
    <x v="0"/>
    <n v="21"/>
    <s v="CIVIL"/>
    <n v="8"/>
    <n v="93"/>
    <n v="3.4"/>
    <n v="91"/>
    <n v="48"/>
    <n v="59"/>
    <n v="79"/>
    <n v="28"/>
    <n v="96"/>
    <n v="48"/>
    <n v="62"/>
    <s v="Fail"/>
    <s v="B"/>
    <n v="1"/>
    <s v="GOOD"/>
    <m/>
    <x v="1"/>
    <m/>
    <m/>
    <m/>
    <m/>
    <m/>
    <m/>
  </r>
  <r>
    <x v="145"/>
    <x v="0"/>
    <n v="21"/>
    <s v="CSE"/>
    <n v="8"/>
    <n v="86"/>
    <n v="1.8"/>
    <n v="85"/>
    <n v="23"/>
    <n v="21"/>
    <n v="94"/>
    <n v="27"/>
    <n v="61"/>
    <n v="90"/>
    <n v="58.599999999999994"/>
    <s v="Fail"/>
    <s v="C"/>
    <n v="2"/>
    <s v="AVERAGE"/>
    <m/>
    <x v="1"/>
    <m/>
    <m/>
    <m/>
    <m/>
    <m/>
    <m/>
  </r>
  <r>
    <x v="146"/>
    <x v="0"/>
    <n v="24"/>
    <s v="CIVIL"/>
    <n v="8"/>
    <n v="90"/>
    <n v="2.6"/>
    <n v="75"/>
    <n v="34"/>
    <n v="74"/>
    <n v="89"/>
    <n v="80"/>
    <n v="51"/>
    <n v="53"/>
    <n v="69.399999999999991"/>
    <s v="Pass"/>
    <s v="B"/>
    <n v="0"/>
    <s v="GOOD"/>
    <m/>
    <x v="0"/>
    <m/>
    <m/>
    <m/>
    <m/>
    <m/>
    <m/>
  </r>
  <r>
    <x v="147"/>
    <x v="0"/>
    <n v="23"/>
    <s v="CSE"/>
    <n v="7"/>
    <n v="46"/>
    <n v="5.9"/>
    <n v="68"/>
    <n v="41"/>
    <n v="60"/>
    <n v="64"/>
    <n v="82"/>
    <n v="67"/>
    <n v="81"/>
    <n v="70.8"/>
    <s v="Pass"/>
    <s v="B"/>
    <n v="0"/>
    <s v="GOOD"/>
    <m/>
    <x v="0"/>
    <m/>
    <m/>
    <m/>
    <m/>
    <m/>
    <m/>
  </r>
  <r>
    <x v="148"/>
    <x v="1"/>
    <n v="21"/>
    <s v="ECE"/>
    <n v="8"/>
    <n v="61"/>
    <n v="1.1000000000000001"/>
    <n v="57"/>
    <n v="26"/>
    <n v="32"/>
    <n v="60"/>
    <n v="95"/>
    <n v="98"/>
    <n v="85"/>
    <n v="74"/>
    <s v="Fail"/>
    <s v="B"/>
    <n v="1"/>
    <s v="GOOD"/>
    <m/>
    <x v="1"/>
    <m/>
    <m/>
    <m/>
    <m/>
    <m/>
    <m/>
  </r>
  <r>
    <x v="149"/>
    <x v="0"/>
    <n v="22"/>
    <s v="ECE"/>
    <n v="8"/>
    <n v="50"/>
    <n v="5.7"/>
    <n v="51"/>
    <n v="45"/>
    <n v="28"/>
    <n v="80"/>
    <n v="23"/>
    <n v="63"/>
    <n v="86"/>
    <n v="56.000000000000007"/>
    <s v="Fail"/>
    <s v="C"/>
    <n v="2"/>
    <s v="AVERAGE"/>
    <m/>
    <x v="1"/>
    <m/>
    <m/>
    <m/>
    <m/>
    <m/>
    <m/>
  </r>
  <r>
    <x v="150"/>
    <x v="1"/>
    <n v="23"/>
    <s v="CSE"/>
    <n v="8"/>
    <n v="89"/>
    <n v="3.6"/>
    <n v="90"/>
    <n v="36"/>
    <n v="19"/>
    <n v="91"/>
    <n v="79"/>
    <n v="74"/>
    <n v="88"/>
    <n v="70.199999999999989"/>
    <s v="Fail"/>
    <s v="B"/>
    <n v="1"/>
    <s v="GOOD"/>
    <m/>
    <x v="1"/>
    <m/>
    <m/>
    <m/>
    <m/>
    <m/>
    <m/>
  </r>
  <r>
    <x v="151"/>
    <x v="0"/>
    <n v="21"/>
    <s v="ECE"/>
    <n v="8"/>
    <n v="63"/>
    <n v="2.2999999999999998"/>
    <n v="67"/>
    <n v="27"/>
    <n v="70"/>
    <n v="42"/>
    <n v="23"/>
    <n v="62"/>
    <n v="62"/>
    <n v="51.800000000000004"/>
    <s v="Fail"/>
    <s v="C"/>
    <n v="1"/>
    <s v="AVERAGE"/>
    <m/>
    <x v="1"/>
    <m/>
    <m/>
    <m/>
    <m/>
    <m/>
    <m/>
  </r>
  <r>
    <x v="152"/>
    <x v="1"/>
    <n v="24"/>
    <s v="ME"/>
    <n v="7"/>
    <n v="47"/>
    <n v="2.2999999999999998"/>
    <n v="52"/>
    <n v="21"/>
    <n v="26"/>
    <n v="89"/>
    <n v="69"/>
    <n v="62"/>
    <n v="91"/>
    <n v="67.400000000000006"/>
    <s v="Fail"/>
    <s v="B"/>
    <n v="1"/>
    <s v="GOOD"/>
    <m/>
    <x v="1"/>
    <m/>
    <m/>
    <m/>
    <m/>
    <m/>
    <m/>
  </r>
  <r>
    <x v="153"/>
    <x v="0"/>
    <n v="22"/>
    <s v="ECE"/>
    <n v="8"/>
    <n v="84"/>
    <n v="3.7"/>
    <n v="92"/>
    <n v="29"/>
    <n v="85"/>
    <n v="82"/>
    <n v="28"/>
    <n v="100"/>
    <n v="53"/>
    <n v="69.599999999999994"/>
    <s v="Fail"/>
    <s v="B"/>
    <n v="1"/>
    <s v="GOOD"/>
    <m/>
    <x v="1"/>
    <m/>
    <m/>
    <m/>
    <m/>
    <m/>
    <m/>
  </r>
  <r>
    <x v="154"/>
    <x v="1"/>
    <n v="21"/>
    <s v="CSE"/>
    <n v="8"/>
    <n v="51"/>
    <n v="3.8"/>
    <n v="64"/>
    <n v="37"/>
    <n v="11"/>
    <n v="43"/>
    <n v="40"/>
    <n v="68"/>
    <n v="41"/>
    <n v="40.6"/>
    <s v="Fail"/>
    <s v="D"/>
    <n v="1"/>
    <s v="AVERAGE"/>
    <m/>
    <x v="1"/>
    <m/>
    <m/>
    <m/>
    <m/>
    <m/>
    <m/>
  </r>
  <r>
    <x v="155"/>
    <x v="0"/>
    <n v="22"/>
    <s v="ME"/>
    <n v="8"/>
    <n v="81"/>
    <n v="4.7"/>
    <n v="96"/>
    <n v="48"/>
    <n v="16"/>
    <n v="46"/>
    <n v="74"/>
    <n v="61"/>
    <n v="99"/>
    <n v="59.199999999999996"/>
    <s v="Fail"/>
    <s v="C"/>
    <n v="1"/>
    <s v="AVERAGE"/>
    <m/>
    <x v="1"/>
    <m/>
    <m/>
    <m/>
    <m/>
    <m/>
    <m/>
  </r>
  <r>
    <x v="156"/>
    <x v="1"/>
    <n v="22"/>
    <s v="CIVIL"/>
    <n v="8"/>
    <n v="54"/>
    <n v="3.4"/>
    <n v="60"/>
    <n v="28"/>
    <n v="49"/>
    <n v="56"/>
    <n v="51"/>
    <n v="93"/>
    <n v="69"/>
    <n v="63.6"/>
    <s v="Pass"/>
    <s v="B"/>
    <n v="0"/>
    <s v="GOOD"/>
    <m/>
    <x v="0"/>
    <m/>
    <m/>
    <m/>
    <m/>
    <m/>
    <m/>
  </r>
  <r>
    <x v="157"/>
    <x v="1"/>
    <n v="21"/>
    <s v="CIVIL"/>
    <n v="7"/>
    <n v="58"/>
    <n v="3.4"/>
    <n v="58"/>
    <n v="39"/>
    <n v="10"/>
    <n v="60"/>
    <n v="93"/>
    <n v="54"/>
    <n v="55"/>
    <n v="54.400000000000006"/>
    <s v="Fail"/>
    <s v="C"/>
    <n v="1"/>
    <s v="AVERAGE"/>
    <m/>
    <x v="1"/>
    <m/>
    <m/>
    <m/>
    <m/>
    <m/>
    <m/>
  </r>
  <r>
    <x v="158"/>
    <x v="1"/>
    <n v="24"/>
    <s v="CSE"/>
    <n v="7"/>
    <n v="72"/>
    <n v="5.5"/>
    <n v="57"/>
    <n v="24"/>
    <n v="70"/>
    <n v="28"/>
    <n v="95"/>
    <n v="82"/>
    <n v="100"/>
    <n v="75"/>
    <s v="Fail"/>
    <s v="B"/>
    <n v="1"/>
    <s v="GOOD"/>
    <m/>
    <x v="1"/>
    <m/>
    <m/>
    <m/>
    <m/>
    <m/>
    <m/>
  </r>
  <r>
    <x v="159"/>
    <x v="1"/>
    <n v="24"/>
    <s v="CIVIL"/>
    <n v="8"/>
    <n v="48"/>
    <n v="4"/>
    <n v="53"/>
    <n v="24"/>
    <n v="73"/>
    <n v="94"/>
    <n v="32"/>
    <n v="66"/>
    <n v="79"/>
    <n v="68.8"/>
    <s v="Fail"/>
    <s v="B"/>
    <n v="1"/>
    <s v="GOOD"/>
    <m/>
    <x v="1"/>
    <m/>
    <m/>
    <m/>
    <m/>
    <m/>
    <m/>
  </r>
  <r>
    <x v="160"/>
    <x v="0"/>
    <n v="22"/>
    <s v="CIVIL"/>
    <n v="7"/>
    <n v="94"/>
    <n v="5.4"/>
    <n v="86"/>
    <n v="44"/>
    <n v="26"/>
    <n v="51"/>
    <n v="45"/>
    <n v="99"/>
    <n v="42"/>
    <n v="52.6"/>
    <s v="Fail"/>
    <s v="C"/>
    <n v="1"/>
    <s v="AVERAGE"/>
    <m/>
    <x v="1"/>
    <m/>
    <m/>
    <m/>
    <m/>
    <m/>
    <m/>
  </r>
  <r>
    <x v="161"/>
    <x v="1"/>
    <n v="23"/>
    <s v="CSE"/>
    <n v="8"/>
    <n v="76"/>
    <n v="2.7"/>
    <n v="89"/>
    <n v="50"/>
    <n v="83"/>
    <n v="91"/>
    <n v="54"/>
    <n v="65"/>
    <n v="88"/>
    <n v="76.2"/>
    <s v="Pass"/>
    <s v="B"/>
    <n v="0"/>
    <s v="GOOD"/>
    <m/>
    <x v="0"/>
    <m/>
    <m/>
    <m/>
    <m/>
    <m/>
    <m/>
  </r>
  <r>
    <x v="162"/>
    <x v="1"/>
    <n v="22"/>
    <s v="ECE"/>
    <n v="8"/>
    <n v="77"/>
    <n v="1.8"/>
    <n v="88"/>
    <n v="25"/>
    <n v="63"/>
    <n v="18"/>
    <n v="82"/>
    <n v="95"/>
    <n v="81"/>
    <n v="67.800000000000011"/>
    <s v="Fail"/>
    <s v="B"/>
    <n v="1"/>
    <s v="GOOD"/>
    <m/>
    <x v="1"/>
    <m/>
    <m/>
    <m/>
    <m/>
    <m/>
    <m/>
  </r>
  <r>
    <x v="163"/>
    <x v="1"/>
    <n v="24"/>
    <s v="CSE"/>
    <n v="8"/>
    <n v="55"/>
    <n v="3.1"/>
    <n v="59"/>
    <n v="22"/>
    <n v="36"/>
    <n v="76"/>
    <n v="84"/>
    <n v="86"/>
    <n v="72"/>
    <n v="70.8"/>
    <s v="Fail"/>
    <s v="B"/>
    <n v="1"/>
    <s v="GOOD"/>
    <m/>
    <x v="1"/>
    <m/>
    <m/>
    <m/>
    <m/>
    <m/>
    <m/>
  </r>
  <r>
    <x v="164"/>
    <x v="0"/>
    <n v="23"/>
    <s v="ME"/>
    <n v="8"/>
    <n v="84"/>
    <n v="5.2"/>
    <n v="74"/>
    <n v="37"/>
    <n v="26"/>
    <n v="78"/>
    <n v="48"/>
    <n v="54"/>
    <n v="59"/>
    <n v="53"/>
    <s v="Fail"/>
    <s v="C"/>
    <n v="1"/>
    <s v="AVERAGE"/>
    <m/>
    <x v="1"/>
    <m/>
    <m/>
    <m/>
    <m/>
    <m/>
    <m/>
  </r>
  <r>
    <x v="165"/>
    <x v="0"/>
    <n v="23"/>
    <s v="ME"/>
    <n v="8"/>
    <n v="59"/>
    <n v="5.3"/>
    <n v="62"/>
    <n v="46"/>
    <n v="63"/>
    <n v="58"/>
    <n v="75"/>
    <n v="65"/>
    <n v="91"/>
    <n v="70.399999999999991"/>
    <s v="Pass"/>
    <s v="B"/>
    <n v="0"/>
    <s v="GOOD"/>
    <m/>
    <x v="0"/>
    <m/>
    <m/>
    <m/>
    <m/>
    <m/>
    <m/>
  </r>
  <r>
    <x v="166"/>
    <x v="1"/>
    <n v="23"/>
    <s v="CSE"/>
    <n v="7"/>
    <n v="86"/>
    <n v="4.7"/>
    <n v="78"/>
    <n v="49"/>
    <n v="71"/>
    <n v="68"/>
    <n v="31"/>
    <n v="78"/>
    <n v="83"/>
    <n v="66.2"/>
    <s v="Fail"/>
    <s v="B"/>
    <n v="1"/>
    <s v="GOOD"/>
    <m/>
    <x v="1"/>
    <m/>
    <m/>
    <m/>
    <m/>
    <m/>
    <m/>
  </r>
  <r>
    <x v="167"/>
    <x v="0"/>
    <n v="23"/>
    <s v="ME"/>
    <n v="8"/>
    <n v="91"/>
    <n v="4.2"/>
    <n v="83"/>
    <n v="38"/>
    <n v="58"/>
    <n v="86"/>
    <n v="97"/>
    <n v="91"/>
    <n v="47"/>
    <n v="75.8"/>
    <s v="Pass"/>
    <s v="B"/>
    <n v="0"/>
    <s v="GOOD"/>
    <m/>
    <x v="0"/>
    <m/>
    <m/>
    <m/>
    <m/>
    <m/>
    <m/>
  </r>
  <r>
    <x v="168"/>
    <x v="1"/>
    <n v="23"/>
    <s v="CSE"/>
    <n v="7"/>
    <n v="45"/>
    <n v="4.0999999999999996"/>
    <n v="56"/>
    <n v="32"/>
    <n v="29"/>
    <n v="58"/>
    <n v="94"/>
    <n v="79"/>
    <n v="33"/>
    <n v="58.599999999999994"/>
    <s v="Fail"/>
    <s v="C"/>
    <n v="2"/>
    <s v="AVERAGE"/>
    <m/>
    <x v="1"/>
    <m/>
    <m/>
    <m/>
    <m/>
    <m/>
    <m/>
  </r>
  <r>
    <x v="169"/>
    <x v="0"/>
    <n v="21"/>
    <s v="ME"/>
    <n v="8"/>
    <n v="44"/>
    <n v="2.2999999999999998"/>
    <n v="51"/>
    <n v="39"/>
    <n v="55"/>
    <n v="91"/>
    <n v="37"/>
    <n v="97"/>
    <n v="34"/>
    <n v="62.8"/>
    <s v="Fail"/>
    <s v="B"/>
    <n v="2"/>
    <s v="GOOD"/>
    <m/>
    <x v="1"/>
    <m/>
    <m/>
    <m/>
    <m/>
    <m/>
    <m/>
  </r>
  <r>
    <x v="170"/>
    <x v="0"/>
    <n v="22"/>
    <s v="CSE"/>
    <n v="8"/>
    <n v="77"/>
    <n v="3.5"/>
    <n v="74"/>
    <n v="41"/>
    <n v="10"/>
    <n v="46"/>
    <n v="72"/>
    <n v="97"/>
    <n v="86"/>
    <n v="62.2"/>
    <s v="Fail"/>
    <s v="B"/>
    <n v="1"/>
    <s v="GOOD"/>
    <m/>
    <x v="1"/>
    <m/>
    <m/>
    <m/>
    <m/>
    <m/>
    <m/>
  </r>
  <r>
    <x v="171"/>
    <x v="1"/>
    <n v="24"/>
    <s v="ECE"/>
    <n v="7"/>
    <n v="69"/>
    <n v="6"/>
    <n v="51"/>
    <n v="20"/>
    <n v="70"/>
    <n v="61"/>
    <n v="24"/>
    <n v="64"/>
    <n v="43"/>
    <n v="52.400000000000006"/>
    <s v="Fail"/>
    <s v="C"/>
    <n v="1"/>
    <s v="AVERAGE"/>
    <m/>
    <x v="1"/>
    <m/>
    <m/>
    <m/>
    <m/>
    <m/>
    <m/>
  </r>
  <r>
    <x v="172"/>
    <x v="0"/>
    <n v="24"/>
    <s v="CSE"/>
    <n v="8"/>
    <n v="92"/>
    <n v="4.3"/>
    <n v="71"/>
    <n v="49"/>
    <n v="88"/>
    <n v="21"/>
    <n v="69"/>
    <n v="78"/>
    <n v="78"/>
    <n v="66.8"/>
    <s v="Fail"/>
    <s v="B"/>
    <n v="1"/>
    <s v="GOOD"/>
    <m/>
    <x v="1"/>
    <m/>
    <m/>
    <m/>
    <m/>
    <m/>
    <m/>
  </r>
  <r>
    <x v="173"/>
    <x v="0"/>
    <n v="24"/>
    <s v="ME"/>
    <n v="7"/>
    <n v="55"/>
    <n v="1.8"/>
    <n v="57"/>
    <n v="38"/>
    <n v="15"/>
    <n v="23"/>
    <n v="93"/>
    <n v="75"/>
    <n v="81"/>
    <n v="57.4"/>
    <s v="Fail"/>
    <s v="C"/>
    <n v="2"/>
    <s v="AVERAGE"/>
    <m/>
    <x v="1"/>
    <m/>
    <m/>
    <m/>
    <m/>
    <m/>
    <m/>
  </r>
  <r>
    <x v="174"/>
    <x v="1"/>
    <n v="23"/>
    <s v="CSE"/>
    <n v="7"/>
    <n v="64"/>
    <n v="1.9"/>
    <n v="53"/>
    <n v="41"/>
    <n v="71"/>
    <n v="46"/>
    <n v="85"/>
    <n v="60"/>
    <n v="34"/>
    <n v="59.199999999999996"/>
    <s v="Fail"/>
    <s v="C"/>
    <n v="1"/>
    <s v="AVERAGE"/>
    <m/>
    <x v="1"/>
    <m/>
    <m/>
    <m/>
    <m/>
    <m/>
    <m/>
  </r>
  <r>
    <x v="175"/>
    <x v="1"/>
    <n v="21"/>
    <s v="CSE"/>
    <n v="7"/>
    <n v="86"/>
    <n v="1.7"/>
    <n v="80"/>
    <n v="19"/>
    <n v="76"/>
    <n v="18"/>
    <n v="34"/>
    <n v="60"/>
    <n v="50"/>
    <n v="47.599999999999994"/>
    <s v="Fail"/>
    <s v="D"/>
    <n v="2"/>
    <s v="AVERAGE"/>
    <m/>
    <x v="1"/>
    <m/>
    <m/>
    <m/>
    <m/>
    <m/>
    <m/>
  </r>
  <r>
    <x v="176"/>
    <x v="0"/>
    <n v="24"/>
    <s v="CSE"/>
    <n v="7"/>
    <n v="69"/>
    <n v="2"/>
    <n v="55"/>
    <n v="31"/>
    <n v="59"/>
    <n v="35"/>
    <n v="47"/>
    <n v="89"/>
    <n v="82"/>
    <n v="62.4"/>
    <s v="Fail"/>
    <s v="B"/>
    <n v="1"/>
    <s v="GOOD"/>
    <m/>
    <x v="1"/>
    <m/>
    <m/>
    <m/>
    <m/>
    <m/>
    <m/>
  </r>
  <r>
    <x v="177"/>
    <x v="1"/>
    <n v="21"/>
    <s v="ECE"/>
    <n v="8"/>
    <n v="84"/>
    <n v="1.8"/>
    <n v="98"/>
    <n v="42"/>
    <n v="34"/>
    <n v="92"/>
    <n v="69"/>
    <n v="93"/>
    <n v="99"/>
    <n v="77.400000000000006"/>
    <s v="Fail"/>
    <s v="B"/>
    <n v="1"/>
    <s v="GOOD"/>
    <m/>
    <x v="1"/>
    <m/>
    <m/>
    <m/>
    <m/>
    <m/>
    <m/>
  </r>
  <r>
    <x v="178"/>
    <x v="1"/>
    <n v="24"/>
    <s v="ECE"/>
    <n v="8"/>
    <n v="85"/>
    <n v="4.2"/>
    <n v="98"/>
    <n v="39"/>
    <n v="90"/>
    <n v="74"/>
    <n v="60"/>
    <n v="56"/>
    <n v="51"/>
    <n v="66.2"/>
    <s v="Pass"/>
    <s v="B"/>
    <n v="0"/>
    <s v="GOOD"/>
    <m/>
    <x v="0"/>
    <m/>
    <m/>
    <m/>
    <m/>
    <m/>
    <m/>
  </r>
  <r>
    <x v="179"/>
    <x v="0"/>
    <n v="22"/>
    <s v="CSE"/>
    <n v="7"/>
    <n v="64"/>
    <n v="5.5"/>
    <n v="58"/>
    <n v="35"/>
    <n v="29"/>
    <n v="54"/>
    <n v="87"/>
    <n v="64"/>
    <n v="48"/>
    <n v="56.399999999999991"/>
    <s v="Fail"/>
    <s v="C"/>
    <n v="1"/>
    <s v="AVERAGE"/>
    <m/>
    <x v="1"/>
    <m/>
    <m/>
    <m/>
    <m/>
    <m/>
    <m/>
  </r>
  <r>
    <x v="180"/>
    <x v="0"/>
    <n v="22"/>
    <s v="CIVIL"/>
    <n v="8"/>
    <n v="76"/>
    <n v="2.9"/>
    <n v="91"/>
    <n v="28"/>
    <n v="83"/>
    <n v="80"/>
    <n v="43"/>
    <n v="62"/>
    <n v="84"/>
    <n v="70.399999999999991"/>
    <s v="Pass"/>
    <s v="B"/>
    <n v="0"/>
    <s v="GOOD"/>
    <m/>
    <x v="0"/>
    <m/>
    <m/>
    <m/>
    <m/>
    <m/>
    <m/>
  </r>
  <r>
    <x v="181"/>
    <x v="1"/>
    <n v="21"/>
    <s v="CSE"/>
    <n v="8"/>
    <n v="94"/>
    <n v="2.2999999999999998"/>
    <n v="95"/>
    <n v="37"/>
    <n v="49"/>
    <n v="65"/>
    <n v="86"/>
    <n v="55"/>
    <n v="96"/>
    <n v="70.199999999999989"/>
    <s v="Pass"/>
    <s v="B"/>
    <n v="0"/>
    <s v="GOOD"/>
    <m/>
    <x v="0"/>
    <m/>
    <m/>
    <m/>
    <m/>
    <m/>
    <m/>
  </r>
  <r>
    <x v="182"/>
    <x v="1"/>
    <n v="22"/>
    <s v="CIVIL"/>
    <n v="7"/>
    <n v="41"/>
    <n v="4.4000000000000004"/>
    <n v="64"/>
    <n v="28"/>
    <n v="33"/>
    <n v="93"/>
    <n v="94"/>
    <n v="97"/>
    <n v="72"/>
    <n v="77.8"/>
    <s v="Fail"/>
    <s v="B"/>
    <n v="1"/>
    <s v="GOOD"/>
    <m/>
    <x v="1"/>
    <m/>
    <m/>
    <m/>
    <m/>
    <m/>
    <m/>
  </r>
  <r>
    <x v="183"/>
    <x v="1"/>
    <n v="24"/>
    <s v="ME"/>
    <n v="8"/>
    <n v="62"/>
    <n v="3"/>
    <n v="61"/>
    <n v="40"/>
    <n v="35"/>
    <n v="27"/>
    <n v="40"/>
    <n v="83"/>
    <n v="98"/>
    <n v="56.599999999999994"/>
    <s v="Fail"/>
    <s v="C"/>
    <n v="2"/>
    <s v="AVERAGE"/>
    <m/>
    <x v="1"/>
    <m/>
    <m/>
    <m/>
    <m/>
    <m/>
    <m/>
  </r>
  <r>
    <x v="184"/>
    <x v="1"/>
    <n v="24"/>
    <s v="CSE"/>
    <n v="8"/>
    <n v="48"/>
    <n v="1.9"/>
    <n v="68"/>
    <n v="41"/>
    <n v="62"/>
    <n v="42"/>
    <n v="80"/>
    <n v="75"/>
    <n v="64"/>
    <n v="64.600000000000009"/>
    <s v="Pass"/>
    <s v="B"/>
    <n v="0"/>
    <s v="GOOD"/>
    <m/>
    <x v="0"/>
    <m/>
    <m/>
    <m/>
    <m/>
    <m/>
    <m/>
  </r>
  <r>
    <x v="185"/>
    <x v="0"/>
    <n v="21"/>
    <s v="CSE"/>
    <n v="8"/>
    <n v="95"/>
    <n v="1.3"/>
    <n v="92"/>
    <n v="35"/>
    <n v="10"/>
    <n v="19"/>
    <n v="51"/>
    <n v="74"/>
    <n v="92"/>
    <n v="49.2"/>
    <s v="Fail"/>
    <s v="D"/>
    <n v="2"/>
    <s v="AVERAGE"/>
    <m/>
    <x v="1"/>
    <m/>
    <m/>
    <m/>
    <m/>
    <m/>
    <m/>
  </r>
  <r>
    <x v="186"/>
    <x v="1"/>
    <n v="24"/>
    <s v="ME"/>
    <n v="8"/>
    <n v="62"/>
    <n v="3.2"/>
    <n v="59"/>
    <n v="26"/>
    <n v="29"/>
    <n v="57"/>
    <n v="60"/>
    <n v="81"/>
    <n v="36"/>
    <n v="52.6"/>
    <s v="Fail"/>
    <s v="C"/>
    <n v="2"/>
    <s v="AVERAGE"/>
    <m/>
    <x v="1"/>
    <m/>
    <m/>
    <m/>
    <m/>
    <m/>
    <m/>
  </r>
  <r>
    <x v="187"/>
    <x v="1"/>
    <n v="21"/>
    <s v="ECE"/>
    <n v="8"/>
    <n v="75"/>
    <n v="3.3"/>
    <n v="89"/>
    <n v="31"/>
    <n v="83"/>
    <n v="69"/>
    <n v="78"/>
    <n v="90"/>
    <n v="65"/>
    <n v="77"/>
    <s v="Pass"/>
    <s v="B"/>
    <n v="0"/>
    <s v="GOOD"/>
    <m/>
    <x v="0"/>
    <m/>
    <m/>
    <m/>
    <m/>
    <m/>
    <m/>
  </r>
  <r>
    <x v="188"/>
    <x v="0"/>
    <n v="22"/>
    <s v="ME"/>
    <n v="8"/>
    <n v="45"/>
    <n v="1.1000000000000001"/>
    <n v="52"/>
    <n v="47"/>
    <n v="24"/>
    <n v="93"/>
    <n v="42"/>
    <n v="97"/>
    <n v="42"/>
    <n v="59.599999999999994"/>
    <s v="Fail"/>
    <s v="C"/>
    <n v="1"/>
    <s v="AVERAGE"/>
    <m/>
    <x v="1"/>
    <m/>
    <m/>
    <m/>
    <m/>
    <m/>
    <m/>
  </r>
  <r>
    <x v="189"/>
    <x v="0"/>
    <n v="23"/>
    <s v="CSE"/>
    <n v="7"/>
    <n v="84"/>
    <n v="2.9"/>
    <n v="83"/>
    <n v="22"/>
    <n v="32"/>
    <n v="63"/>
    <n v="58"/>
    <n v="87"/>
    <n v="37"/>
    <n v="55.400000000000006"/>
    <s v="Fail"/>
    <s v="C"/>
    <n v="2"/>
    <s v="AVERAGE"/>
    <m/>
    <x v="1"/>
    <m/>
    <m/>
    <m/>
    <m/>
    <m/>
    <m/>
  </r>
  <r>
    <x v="190"/>
    <x v="1"/>
    <n v="24"/>
    <s v="ME"/>
    <n v="8"/>
    <n v="82"/>
    <n v="1.5"/>
    <n v="82"/>
    <n v="29"/>
    <n v="68"/>
    <n v="19"/>
    <n v="85"/>
    <n v="74"/>
    <n v="95"/>
    <n v="68.2"/>
    <s v="Fail"/>
    <s v="B"/>
    <n v="1"/>
    <s v="GOOD"/>
    <m/>
    <x v="1"/>
    <m/>
    <m/>
    <m/>
    <m/>
    <m/>
    <m/>
  </r>
  <r>
    <x v="191"/>
    <x v="1"/>
    <n v="23"/>
    <s v="ME"/>
    <n v="7"/>
    <n v="54"/>
    <n v="2"/>
    <n v="52"/>
    <n v="31"/>
    <n v="43"/>
    <n v="81"/>
    <n v="68"/>
    <n v="78"/>
    <n v="67"/>
    <n v="67.400000000000006"/>
    <s v="Pass"/>
    <s v="B"/>
    <n v="0"/>
    <s v="GOOD"/>
    <m/>
    <x v="0"/>
    <m/>
    <m/>
    <m/>
    <m/>
    <m/>
    <m/>
  </r>
  <r>
    <x v="192"/>
    <x v="0"/>
    <n v="21"/>
    <s v="CSE"/>
    <n v="7"/>
    <n v="90"/>
    <n v="4.2"/>
    <n v="95"/>
    <n v="24"/>
    <n v="20"/>
    <n v="47"/>
    <n v="58"/>
    <n v="65"/>
    <n v="96"/>
    <n v="57.199999999999996"/>
    <s v="Fail"/>
    <s v="C"/>
    <n v="1"/>
    <s v="AVERAGE"/>
    <m/>
    <x v="1"/>
    <m/>
    <m/>
    <m/>
    <m/>
    <m/>
    <m/>
  </r>
  <r>
    <x v="193"/>
    <x v="1"/>
    <n v="22"/>
    <s v="CSE"/>
    <n v="7"/>
    <n v="92"/>
    <n v="4.7"/>
    <n v="94"/>
    <n v="38"/>
    <n v="66"/>
    <n v="91"/>
    <n v="46"/>
    <n v="94"/>
    <n v="89"/>
    <n v="77.2"/>
    <s v="Pass"/>
    <s v="B"/>
    <n v="0"/>
    <s v="GOOD"/>
    <m/>
    <x v="0"/>
    <m/>
    <m/>
    <m/>
    <m/>
    <m/>
    <m/>
  </r>
  <r>
    <x v="194"/>
    <x v="1"/>
    <n v="21"/>
    <s v="CSE"/>
    <n v="7"/>
    <n v="95"/>
    <n v="4.4000000000000004"/>
    <n v="76"/>
    <n v="46"/>
    <n v="45"/>
    <n v="58"/>
    <n v="35"/>
    <n v="64"/>
    <n v="83"/>
    <n v="56.999999999999993"/>
    <s v="Fail"/>
    <s v="C"/>
    <n v="1"/>
    <s v="AVERAGE"/>
    <m/>
    <x v="1"/>
    <m/>
    <m/>
    <m/>
    <m/>
    <m/>
    <m/>
  </r>
  <r>
    <x v="195"/>
    <x v="1"/>
    <n v="22"/>
    <s v="ME"/>
    <n v="7"/>
    <n v="89"/>
    <n v="5.6"/>
    <n v="88"/>
    <n v="35"/>
    <n v="56"/>
    <n v="15"/>
    <n v="24"/>
    <n v="64"/>
    <n v="60"/>
    <n v="43.8"/>
    <s v="Fail"/>
    <s v="D"/>
    <n v="2"/>
    <s v="AVERAGE"/>
    <m/>
    <x v="1"/>
    <m/>
    <m/>
    <m/>
    <m/>
    <m/>
    <m/>
  </r>
  <r>
    <x v="196"/>
    <x v="1"/>
    <n v="24"/>
    <s v="CSE"/>
    <n v="7"/>
    <n v="94"/>
    <n v="2.2999999999999998"/>
    <n v="94"/>
    <n v="29"/>
    <n v="68"/>
    <n v="10"/>
    <n v="80"/>
    <n v="81"/>
    <n v="96"/>
    <n v="67"/>
    <s v="Fail"/>
    <s v="B"/>
    <n v="1"/>
    <s v="GOOD"/>
    <m/>
    <x v="1"/>
    <m/>
    <m/>
    <m/>
    <m/>
    <m/>
    <m/>
  </r>
  <r>
    <x v="197"/>
    <x v="0"/>
    <n v="24"/>
    <s v="ME"/>
    <n v="8"/>
    <n v="64"/>
    <n v="4.2"/>
    <n v="70"/>
    <n v="45"/>
    <n v="33"/>
    <n v="70"/>
    <n v="42"/>
    <n v="84"/>
    <n v="48"/>
    <n v="55.400000000000006"/>
    <s v="Fail"/>
    <s v="C"/>
    <n v="1"/>
    <s v="AVERAGE"/>
    <m/>
    <x v="1"/>
    <m/>
    <m/>
    <m/>
    <m/>
    <m/>
    <m/>
  </r>
  <r>
    <x v="198"/>
    <x v="1"/>
    <n v="21"/>
    <s v="ME"/>
    <n v="8"/>
    <n v="75"/>
    <n v="5.3"/>
    <n v="52"/>
    <n v="23"/>
    <n v="21"/>
    <n v="35"/>
    <n v="59"/>
    <n v="68"/>
    <n v="49"/>
    <n v="46.400000000000006"/>
    <s v="Fail"/>
    <s v="D"/>
    <n v="2"/>
    <s v="AVERAGE"/>
    <m/>
    <x v="1"/>
    <m/>
    <m/>
    <m/>
    <m/>
    <m/>
    <m/>
  </r>
  <r>
    <x v="199"/>
    <x v="1"/>
    <n v="21"/>
    <s v="CSE"/>
    <n v="8"/>
    <n v="81"/>
    <n v="3.8"/>
    <n v="85"/>
    <n v="49"/>
    <n v="53"/>
    <n v="62"/>
    <n v="80"/>
    <n v="96"/>
    <n v="38"/>
    <n v="65.8"/>
    <s v="Fail"/>
    <s v="B"/>
    <n v="1"/>
    <s v="GOOD"/>
    <m/>
    <x v="1"/>
    <m/>
    <m/>
    <m/>
    <m/>
    <m/>
    <m/>
  </r>
  <r>
    <x v="200"/>
    <x v="0"/>
    <n v="21"/>
    <s v="CIVIL"/>
    <n v="7"/>
    <n v="80"/>
    <n v="3.3"/>
    <n v="71"/>
    <n v="18"/>
    <n v="55"/>
    <n v="11"/>
    <n v="49"/>
    <n v="85"/>
    <n v="73"/>
    <n v="54.6"/>
    <s v="Fail"/>
    <s v="C"/>
    <n v="1"/>
    <s v="AVERAGE"/>
    <m/>
    <x v="1"/>
    <m/>
    <m/>
    <m/>
    <m/>
    <m/>
    <m/>
  </r>
  <r>
    <x v="201"/>
    <x v="1"/>
    <n v="21"/>
    <s v="ME"/>
    <n v="7"/>
    <n v="56"/>
    <n v="5.8"/>
    <n v="66"/>
    <n v="23"/>
    <n v="57"/>
    <n v="91"/>
    <n v="92"/>
    <n v="91"/>
    <n v="100"/>
    <n v="86.2"/>
    <s v="Pass"/>
    <s v="A"/>
    <n v="0"/>
    <s v="EXCELLENT"/>
    <m/>
    <x v="0"/>
    <m/>
    <m/>
    <m/>
    <m/>
    <m/>
    <m/>
  </r>
  <r>
    <x v="202"/>
    <x v="1"/>
    <n v="22"/>
    <s v="CSE"/>
    <n v="7"/>
    <n v="81"/>
    <n v="2.6"/>
    <n v="86"/>
    <n v="47"/>
    <n v="46"/>
    <n v="94"/>
    <n v="56"/>
    <n v="87"/>
    <n v="56"/>
    <n v="67.800000000000011"/>
    <s v="Pass"/>
    <s v="B"/>
    <n v="0"/>
    <s v="GOOD"/>
    <m/>
    <x v="0"/>
    <m/>
    <m/>
    <m/>
    <m/>
    <m/>
    <m/>
  </r>
  <r>
    <x v="203"/>
    <x v="0"/>
    <n v="22"/>
    <s v="CSE"/>
    <n v="8"/>
    <n v="66"/>
    <n v="4.4000000000000004"/>
    <n v="70"/>
    <n v="30"/>
    <n v="48"/>
    <n v="75"/>
    <n v="78"/>
    <n v="71"/>
    <n v="96"/>
    <n v="73.599999999999994"/>
    <s v="Pass"/>
    <s v="B"/>
    <n v="0"/>
    <s v="GOOD"/>
    <m/>
    <x v="0"/>
    <m/>
    <m/>
    <m/>
    <m/>
    <m/>
    <m/>
  </r>
  <r>
    <x v="204"/>
    <x v="1"/>
    <n v="22"/>
    <s v="ME"/>
    <n v="7"/>
    <n v="86"/>
    <n v="3.6"/>
    <n v="81"/>
    <n v="22"/>
    <n v="36"/>
    <n v="65"/>
    <n v="64"/>
    <n v="94"/>
    <n v="55"/>
    <n v="62.8"/>
    <s v="Fail"/>
    <s v="B"/>
    <n v="1"/>
    <s v="GOOD"/>
    <m/>
    <x v="1"/>
    <m/>
    <m/>
    <m/>
    <m/>
    <m/>
    <m/>
  </r>
  <r>
    <x v="205"/>
    <x v="0"/>
    <n v="24"/>
    <s v="CSE"/>
    <n v="7"/>
    <n v="24"/>
    <n v="4.4000000000000004"/>
    <n v="50"/>
    <n v="39"/>
    <n v="65"/>
    <n v="67"/>
    <n v="41"/>
    <n v="98"/>
    <n v="31"/>
    <n v="60.4"/>
    <s v="Fail"/>
    <s v="B"/>
    <n v="1"/>
    <s v="GOOD"/>
    <m/>
    <x v="1"/>
    <m/>
    <m/>
    <m/>
    <m/>
    <m/>
    <m/>
  </r>
  <r>
    <x v="206"/>
    <x v="1"/>
    <n v="23"/>
    <s v="CSE"/>
    <n v="7"/>
    <n v="89"/>
    <n v="2.1"/>
    <n v="89"/>
    <n v="36"/>
    <n v="45"/>
    <n v="24"/>
    <n v="30"/>
    <n v="65"/>
    <n v="58"/>
    <n v="44.4"/>
    <s v="Fail"/>
    <s v="D"/>
    <n v="2"/>
    <s v="AVERAGE"/>
    <m/>
    <x v="1"/>
    <m/>
    <m/>
    <m/>
    <m/>
    <m/>
    <m/>
  </r>
  <r>
    <x v="207"/>
    <x v="1"/>
    <n v="22"/>
    <s v="CIVIL"/>
    <n v="8"/>
    <n v="85"/>
    <n v="5.2"/>
    <n v="94"/>
    <n v="47"/>
    <n v="43"/>
    <n v="82"/>
    <n v="63"/>
    <n v="78"/>
    <n v="74"/>
    <n v="68"/>
    <s v="Pass"/>
    <s v="B"/>
    <n v="0"/>
    <s v="GOOD"/>
    <m/>
    <x v="0"/>
    <m/>
    <m/>
    <m/>
    <m/>
    <m/>
    <m/>
  </r>
  <r>
    <x v="208"/>
    <x v="0"/>
    <n v="22"/>
    <s v="ME"/>
    <n v="7"/>
    <n v="86"/>
    <n v="5.3"/>
    <n v="98"/>
    <n v="42"/>
    <n v="19"/>
    <n v="73"/>
    <n v="70"/>
    <n v="58"/>
    <n v="96"/>
    <n v="63.2"/>
    <s v="Fail"/>
    <s v="B"/>
    <n v="1"/>
    <s v="GOOD"/>
    <m/>
    <x v="1"/>
    <m/>
    <m/>
    <m/>
    <m/>
    <m/>
    <m/>
  </r>
  <r>
    <x v="209"/>
    <x v="0"/>
    <n v="23"/>
    <s v="ME"/>
    <n v="7"/>
    <n v="92"/>
    <n v="2.2000000000000002"/>
    <n v="92"/>
    <n v="50"/>
    <n v="49"/>
    <n v="74"/>
    <n v="47"/>
    <n v="82"/>
    <n v="84"/>
    <n v="67.2"/>
    <s v="Pass"/>
    <s v="B"/>
    <n v="0"/>
    <s v="GOOD"/>
    <m/>
    <x v="0"/>
    <m/>
    <m/>
    <m/>
    <m/>
    <m/>
    <m/>
  </r>
  <r>
    <x v="210"/>
    <x v="1"/>
    <n v="22"/>
    <s v="CSE"/>
    <n v="7"/>
    <n v="84"/>
    <n v="5.8"/>
    <n v="89"/>
    <n v="20"/>
    <n v="62"/>
    <n v="22"/>
    <n v="67"/>
    <n v="50"/>
    <n v="77"/>
    <n v="55.600000000000009"/>
    <s v="Fail"/>
    <s v="C"/>
    <n v="1"/>
    <s v="AVERAGE"/>
    <m/>
    <x v="1"/>
    <m/>
    <m/>
    <m/>
    <m/>
    <m/>
    <m/>
  </r>
  <r>
    <x v="211"/>
    <x v="1"/>
    <n v="24"/>
    <s v="ECE"/>
    <n v="8"/>
    <n v="80"/>
    <n v="5"/>
    <n v="99"/>
    <n v="21"/>
    <n v="67"/>
    <n v="69"/>
    <n v="35"/>
    <n v="69"/>
    <n v="45"/>
    <n v="56.999999999999993"/>
    <s v="Fail"/>
    <s v="C"/>
    <n v="1"/>
    <s v="AVERAGE"/>
    <m/>
    <x v="1"/>
    <m/>
    <m/>
    <m/>
    <m/>
    <m/>
    <m/>
  </r>
  <r>
    <x v="212"/>
    <x v="1"/>
    <n v="23"/>
    <s v="ECE"/>
    <n v="7"/>
    <n v="40"/>
    <n v="1.7"/>
    <n v="56"/>
    <n v="24"/>
    <n v="72"/>
    <n v="12"/>
    <n v="67"/>
    <n v="65"/>
    <n v="59"/>
    <n v="55.000000000000007"/>
    <s v="Fail"/>
    <s v="C"/>
    <n v="1"/>
    <s v="AVERAGE"/>
    <m/>
    <x v="1"/>
    <m/>
    <m/>
    <m/>
    <m/>
    <m/>
    <m/>
  </r>
  <r>
    <x v="213"/>
    <x v="1"/>
    <n v="24"/>
    <s v="ME"/>
    <n v="7"/>
    <n v="82"/>
    <n v="1.4"/>
    <n v="92"/>
    <n v="48"/>
    <n v="58"/>
    <n v="80"/>
    <n v="93"/>
    <n v="77"/>
    <n v="57"/>
    <n v="73"/>
    <s v="Pass"/>
    <s v="B"/>
    <n v="0"/>
    <s v="GOOD"/>
    <m/>
    <x v="0"/>
    <m/>
    <m/>
    <m/>
    <m/>
    <m/>
    <m/>
  </r>
  <r>
    <x v="214"/>
    <x v="0"/>
    <n v="22"/>
    <s v="ME"/>
    <n v="8"/>
    <n v="62"/>
    <n v="3.2"/>
    <n v="54"/>
    <n v="44"/>
    <n v="75"/>
    <n v="40"/>
    <n v="41"/>
    <n v="72"/>
    <n v="96"/>
    <n v="64.8"/>
    <s v="Pass"/>
    <s v="B"/>
    <n v="0"/>
    <s v="GOOD"/>
    <m/>
    <x v="0"/>
    <m/>
    <m/>
    <m/>
    <m/>
    <m/>
    <m/>
  </r>
  <r>
    <x v="215"/>
    <x v="0"/>
    <n v="22"/>
    <s v="CSE"/>
    <n v="7"/>
    <n v="62"/>
    <n v="5.5"/>
    <n v="52"/>
    <n v="23"/>
    <n v="65"/>
    <n v="59"/>
    <n v="71"/>
    <n v="65"/>
    <n v="55"/>
    <n v="63"/>
    <s v="Pass"/>
    <s v="B"/>
    <n v="0"/>
    <s v="GOOD"/>
    <m/>
    <x v="0"/>
    <m/>
    <m/>
    <m/>
    <m/>
    <m/>
    <m/>
  </r>
  <r>
    <x v="216"/>
    <x v="1"/>
    <n v="22"/>
    <s v="CIVIL"/>
    <n v="8"/>
    <n v="68"/>
    <n v="4.7"/>
    <n v="54"/>
    <n v="30"/>
    <n v="38"/>
    <n v="80"/>
    <n v="66"/>
    <n v="97"/>
    <n v="67"/>
    <n v="69.599999999999994"/>
    <s v="Fail"/>
    <s v="B"/>
    <n v="1"/>
    <s v="GOOD"/>
    <m/>
    <x v="1"/>
    <m/>
    <m/>
    <m/>
    <m/>
    <m/>
    <m/>
  </r>
  <r>
    <x v="217"/>
    <x v="1"/>
    <n v="23"/>
    <s v="CSE"/>
    <n v="7"/>
    <n v="63"/>
    <n v="3.4"/>
    <n v="64"/>
    <n v="30"/>
    <n v="91"/>
    <n v="37"/>
    <n v="54"/>
    <n v="87"/>
    <n v="60"/>
    <n v="65.8"/>
    <s v="Fail"/>
    <s v="B"/>
    <n v="1"/>
    <s v="GOOD"/>
    <m/>
    <x v="1"/>
    <m/>
    <m/>
    <m/>
    <m/>
    <m/>
    <m/>
  </r>
  <r>
    <x v="218"/>
    <x v="0"/>
    <n v="21"/>
    <s v="CIVIL"/>
    <n v="7"/>
    <n v="57"/>
    <n v="2.1"/>
    <n v="66"/>
    <n v="44"/>
    <n v="42"/>
    <n v="43"/>
    <n v="33"/>
    <n v="74"/>
    <n v="95"/>
    <n v="57.4"/>
    <s v="Fail"/>
    <s v="C"/>
    <n v="1"/>
    <s v="AVERAGE"/>
    <m/>
    <x v="1"/>
    <m/>
    <m/>
    <m/>
    <m/>
    <m/>
    <m/>
  </r>
  <r>
    <x v="219"/>
    <x v="0"/>
    <n v="21"/>
    <s v="CSE"/>
    <n v="8"/>
    <n v="75"/>
    <n v="5.5"/>
    <n v="78"/>
    <n v="48"/>
    <n v="84"/>
    <n v="59"/>
    <n v="38"/>
    <n v="71"/>
    <n v="55"/>
    <n v="61.4"/>
    <s v="Fail"/>
    <s v="B"/>
    <n v="1"/>
    <s v="GOOD"/>
    <m/>
    <x v="1"/>
    <m/>
    <m/>
    <m/>
    <m/>
    <m/>
    <m/>
  </r>
  <r>
    <x v="220"/>
    <x v="1"/>
    <n v="21"/>
    <s v="CIVIL"/>
    <n v="8"/>
    <n v="83"/>
    <n v="5.0999999999999996"/>
    <n v="89"/>
    <n v="31"/>
    <n v="31"/>
    <n v="54"/>
    <n v="40"/>
    <n v="92"/>
    <n v="56"/>
    <n v="54.6"/>
    <s v="Fail"/>
    <s v="C"/>
    <n v="1"/>
    <s v="AVERAGE"/>
    <m/>
    <x v="1"/>
    <m/>
    <m/>
    <m/>
    <m/>
    <m/>
    <m/>
  </r>
  <r>
    <x v="221"/>
    <x v="0"/>
    <n v="23"/>
    <s v="ME"/>
    <n v="8"/>
    <n v="86"/>
    <n v="4.8"/>
    <n v="91"/>
    <n v="28"/>
    <n v="73"/>
    <n v="51"/>
    <n v="32"/>
    <n v="68"/>
    <n v="73"/>
    <n v="59.4"/>
    <s v="Fail"/>
    <s v="C"/>
    <n v="1"/>
    <s v="AVERAGE"/>
    <m/>
    <x v="1"/>
    <m/>
    <m/>
    <m/>
    <m/>
    <m/>
    <m/>
  </r>
  <r>
    <x v="222"/>
    <x v="1"/>
    <n v="22"/>
    <s v="ME"/>
    <n v="8"/>
    <n v="91"/>
    <n v="1.4"/>
    <n v="81"/>
    <n v="42"/>
    <n v="41"/>
    <n v="73"/>
    <n v="85"/>
    <n v="67"/>
    <n v="74"/>
    <n v="68"/>
    <s v="Pass"/>
    <s v="B"/>
    <n v="0"/>
    <s v="GOOD"/>
    <m/>
    <x v="0"/>
    <m/>
    <m/>
    <m/>
    <m/>
    <m/>
    <m/>
  </r>
  <r>
    <x v="223"/>
    <x v="1"/>
    <n v="24"/>
    <s v="ECE"/>
    <n v="8"/>
    <n v="90"/>
    <n v="3.1"/>
    <n v="99"/>
    <n v="50"/>
    <n v="25"/>
    <n v="78"/>
    <n v="61"/>
    <n v="76"/>
    <n v="48"/>
    <n v="57.599999999999994"/>
    <s v="Fail"/>
    <s v="C"/>
    <n v="1"/>
    <s v="AVERAGE"/>
    <m/>
    <x v="1"/>
    <m/>
    <m/>
    <m/>
    <m/>
    <m/>
    <m/>
  </r>
  <r>
    <x v="224"/>
    <x v="1"/>
    <n v="24"/>
    <s v="CSE"/>
    <n v="8"/>
    <n v="85"/>
    <n v="3.9"/>
    <n v="74"/>
    <n v="37"/>
    <n v="65"/>
    <n v="16"/>
    <n v="46"/>
    <n v="75"/>
    <n v="98"/>
    <n v="60"/>
    <s v="Fail"/>
    <s v="C"/>
    <n v="1"/>
    <s v="GOOD"/>
    <m/>
    <x v="1"/>
    <m/>
    <m/>
    <m/>
    <m/>
    <m/>
    <m/>
  </r>
  <r>
    <x v="225"/>
    <x v="0"/>
    <n v="24"/>
    <s v="CIVIL"/>
    <n v="7"/>
    <n v="76"/>
    <n v="1.5"/>
    <n v="91"/>
    <n v="36"/>
    <n v="75"/>
    <n v="94"/>
    <n v="68"/>
    <n v="78"/>
    <n v="89"/>
    <n v="80.800000000000011"/>
    <s v="Pass"/>
    <s v="A"/>
    <n v="0"/>
    <s v="EXCELLENT"/>
    <m/>
    <x v="0"/>
    <m/>
    <m/>
    <m/>
    <m/>
    <m/>
    <m/>
  </r>
  <r>
    <x v="226"/>
    <x v="0"/>
    <n v="23"/>
    <s v="ME"/>
    <n v="7"/>
    <n v="67"/>
    <n v="2"/>
    <n v="59"/>
    <n v="18"/>
    <n v="34"/>
    <n v="67"/>
    <n v="49"/>
    <n v="69"/>
    <n v="36"/>
    <n v="51"/>
    <s v="Fail"/>
    <s v="C"/>
    <n v="2"/>
    <s v="AVERAGE"/>
    <m/>
    <x v="1"/>
    <m/>
    <m/>
    <m/>
    <m/>
    <m/>
    <m/>
  </r>
  <r>
    <x v="227"/>
    <x v="0"/>
    <n v="21"/>
    <s v="ME"/>
    <n v="7"/>
    <n v="85"/>
    <n v="2.7"/>
    <n v="82"/>
    <n v="22"/>
    <n v="29"/>
    <n v="59"/>
    <n v="59"/>
    <n v="76"/>
    <n v="80"/>
    <n v="60.6"/>
    <s v="Fail"/>
    <s v="B"/>
    <n v="1"/>
    <s v="GOOD"/>
    <m/>
    <x v="1"/>
    <m/>
    <m/>
    <m/>
    <m/>
    <m/>
    <m/>
  </r>
  <r>
    <x v="228"/>
    <x v="0"/>
    <n v="21"/>
    <s v="CSE"/>
    <n v="8"/>
    <n v="40"/>
    <n v="2.2999999999999998"/>
    <n v="60"/>
    <n v="44"/>
    <n v="57"/>
    <n v="24"/>
    <n v="43"/>
    <n v="63"/>
    <n v="45"/>
    <n v="46.400000000000006"/>
    <s v="Fail"/>
    <s v="D"/>
    <n v="1"/>
    <s v="AVERAGE"/>
    <m/>
    <x v="1"/>
    <m/>
    <m/>
    <m/>
    <m/>
    <m/>
    <m/>
  </r>
  <r>
    <x v="229"/>
    <x v="0"/>
    <n v="24"/>
    <s v="ME"/>
    <n v="7"/>
    <n v="65"/>
    <n v="2.2999999999999998"/>
    <n v="68"/>
    <n v="43"/>
    <n v="79"/>
    <n v="46"/>
    <n v="36"/>
    <n v="75"/>
    <n v="93"/>
    <n v="65.8"/>
    <s v="Fail"/>
    <s v="B"/>
    <n v="1"/>
    <s v="GOOD"/>
    <m/>
    <x v="1"/>
    <m/>
    <m/>
    <m/>
    <m/>
    <m/>
    <m/>
  </r>
  <r>
    <x v="230"/>
    <x v="1"/>
    <n v="22"/>
    <s v="CIVIL"/>
    <n v="7"/>
    <n v="82"/>
    <n v="2.2999999999999998"/>
    <n v="90"/>
    <n v="19"/>
    <n v="19"/>
    <n v="17"/>
    <n v="40"/>
    <n v="86"/>
    <n v="60"/>
    <n v="44.4"/>
    <s v="Fail"/>
    <s v="D"/>
    <n v="2"/>
    <s v="AVERAGE"/>
    <m/>
    <x v="1"/>
    <m/>
    <m/>
    <m/>
    <m/>
    <m/>
    <m/>
  </r>
  <r>
    <x v="231"/>
    <x v="0"/>
    <n v="23"/>
    <s v="CIVIL"/>
    <n v="8"/>
    <n v="57"/>
    <n v="5.3"/>
    <n v="51"/>
    <n v="41"/>
    <n v="55"/>
    <n v="35"/>
    <n v="68"/>
    <n v="75"/>
    <n v="82"/>
    <n v="63"/>
    <s v="Fail"/>
    <s v="B"/>
    <n v="1"/>
    <s v="GOOD"/>
    <m/>
    <x v="1"/>
    <m/>
    <m/>
    <m/>
    <m/>
    <m/>
    <m/>
  </r>
  <r>
    <x v="232"/>
    <x v="0"/>
    <n v="23"/>
    <s v="ME"/>
    <n v="8"/>
    <n v="80"/>
    <n v="5.5"/>
    <n v="88"/>
    <n v="43"/>
    <n v="56"/>
    <n v="14"/>
    <n v="87"/>
    <n v="82"/>
    <n v="76"/>
    <n v="63"/>
    <s v="Fail"/>
    <s v="B"/>
    <n v="1"/>
    <s v="GOOD"/>
    <m/>
    <x v="1"/>
    <m/>
    <m/>
    <m/>
    <m/>
    <m/>
    <m/>
  </r>
  <r>
    <x v="233"/>
    <x v="1"/>
    <n v="24"/>
    <s v="CSE"/>
    <n v="7"/>
    <n v="79"/>
    <n v="3.2"/>
    <n v="95"/>
    <n v="47"/>
    <n v="49"/>
    <n v="21"/>
    <n v="81"/>
    <n v="71"/>
    <n v="31"/>
    <n v="50.6"/>
    <s v="Fail"/>
    <s v="C"/>
    <n v="2"/>
    <s v="AVERAGE"/>
    <m/>
    <x v="1"/>
    <m/>
    <m/>
    <m/>
    <m/>
    <m/>
    <m/>
  </r>
  <r>
    <x v="234"/>
    <x v="0"/>
    <n v="23"/>
    <s v="ME"/>
    <n v="7"/>
    <n v="75"/>
    <n v="5.4"/>
    <n v="63"/>
    <n v="48"/>
    <n v="94"/>
    <n v="43"/>
    <n v="72"/>
    <n v="92"/>
    <n v="32"/>
    <n v="66.600000000000009"/>
    <s v="Fail"/>
    <s v="B"/>
    <n v="1"/>
    <s v="GOOD"/>
    <m/>
    <x v="1"/>
    <m/>
    <m/>
    <m/>
    <m/>
    <m/>
    <m/>
  </r>
  <r>
    <x v="235"/>
    <x v="1"/>
    <n v="23"/>
    <s v="ME"/>
    <n v="8"/>
    <n v="72"/>
    <n v="5.5"/>
    <n v="52"/>
    <n v="26"/>
    <n v="27"/>
    <n v="42"/>
    <n v="67"/>
    <n v="90"/>
    <n v="33"/>
    <n v="51.800000000000004"/>
    <s v="Fail"/>
    <s v="C"/>
    <n v="2"/>
    <s v="AVERAGE"/>
    <m/>
    <x v="1"/>
    <m/>
    <m/>
    <m/>
    <m/>
    <m/>
    <m/>
  </r>
  <r>
    <x v="236"/>
    <x v="1"/>
    <n v="23"/>
    <s v="CSE"/>
    <n v="8"/>
    <n v="44"/>
    <n v="3"/>
    <n v="70"/>
    <n v="33"/>
    <n v="82"/>
    <n v="34"/>
    <n v="75"/>
    <n v="89"/>
    <n v="76"/>
    <n v="71.2"/>
    <s v="Fail"/>
    <s v="B"/>
    <n v="1"/>
    <s v="GOOD"/>
    <m/>
    <x v="1"/>
    <m/>
    <m/>
    <m/>
    <m/>
    <m/>
    <m/>
  </r>
  <r>
    <x v="237"/>
    <x v="0"/>
    <n v="23"/>
    <s v="ECE"/>
    <n v="8"/>
    <n v="42"/>
    <n v="5"/>
    <n v="51"/>
    <n v="27"/>
    <n v="28"/>
    <n v="10"/>
    <n v="69"/>
    <n v="91"/>
    <n v="96"/>
    <n v="58.8"/>
    <s v="Fail"/>
    <s v="C"/>
    <n v="2"/>
    <s v="AVERAGE"/>
    <m/>
    <x v="1"/>
    <m/>
    <m/>
    <m/>
    <m/>
    <m/>
    <m/>
  </r>
  <r>
    <x v="238"/>
    <x v="1"/>
    <n v="23"/>
    <s v="ME"/>
    <n v="7"/>
    <n v="73"/>
    <n v="3.5"/>
    <n v="55"/>
    <n v="33"/>
    <n v="23"/>
    <n v="11"/>
    <n v="88"/>
    <n v="62"/>
    <n v="96"/>
    <n v="56.000000000000007"/>
    <s v="Fail"/>
    <s v="C"/>
    <n v="2"/>
    <s v="AVERAGE"/>
    <m/>
    <x v="1"/>
    <m/>
    <m/>
    <m/>
    <m/>
    <m/>
    <m/>
  </r>
  <r>
    <x v="239"/>
    <x v="0"/>
    <n v="21"/>
    <s v="CSE"/>
    <n v="7"/>
    <n v="75"/>
    <n v="1.1000000000000001"/>
    <n v="64"/>
    <n v="25"/>
    <n v="43"/>
    <n v="11"/>
    <n v="93"/>
    <n v="90"/>
    <n v="88"/>
    <n v="65"/>
    <s v="Fail"/>
    <s v="B"/>
    <n v="1"/>
    <s v="GOOD"/>
    <m/>
    <x v="1"/>
    <m/>
    <m/>
    <m/>
    <m/>
    <m/>
    <m/>
  </r>
  <r>
    <x v="240"/>
    <x v="1"/>
    <n v="23"/>
    <s v="ECE"/>
    <n v="8"/>
    <n v="77"/>
    <n v="4.0999999999999996"/>
    <n v="79"/>
    <n v="41"/>
    <n v="18"/>
    <n v="37"/>
    <n v="20"/>
    <n v="62"/>
    <n v="88"/>
    <n v="45"/>
    <s v="Fail"/>
    <s v="D"/>
    <n v="3"/>
    <s v="AVERAGE"/>
    <m/>
    <x v="1"/>
    <m/>
    <m/>
    <m/>
    <m/>
    <m/>
    <m/>
  </r>
  <r>
    <x v="241"/>
    <x v="0"/>
    <n v="21"/>
    <s v="ME"/>
    <n v="8"/>
    <n v="90"/>
    <n v="2.8"/>
    <n v="87"/>
    <n v="41"/>
    <n v="38"/>
    <n v="31"/>
    <n v="36"/>
    <n v="72"/>
    <n v="56"/>
    <n v="46.6"/>
    <s v="Fail"/>
    <s v="D"/>
    <n v="3"/>
    <s v="AVERAGE"/>
    <m/>
    <x v="1"/>
    <m/>
    <m/>
    <m/>
    <m/>
    <m/>
    <m/>
  </r>
  <r>
    <x v="242"/>
    <x v="0"/>
    <n v="23"/>
    <s v="ME"/>
    <n v="8"/>
    <n v="95"/>
    <n v="2.9"/>
    <n v="80"/>
    <n v="26"/>
    <n v="14"/>
    <n v="82"/>
    <n v="57"/>
    <n v="78"/>
    <n v="80"/>
    <n v="62.2"/>
    <s v="Fail"/>
    <s v="B"/>
    <n v="1"/>
    <s v="GOOD"/>
    <m/>
    <x v="1"/>
    <m/>
    <m/>
    <m/>
    <m/>
    <m/>
    <m/>
  </r>
  <r>
    <x v="243"/>
    <x v="1"/>
    <n v="24"/>
    <s v="ME"/>
    <n v="7"/>
    <n v="81"/>
    <n v="4.5"/>
    <n v="97"/>
    <n v="40"/>
    <n v="19"/>
    <n v="81"/>
    <n v="37"/>
    <n v="85"/>
    <n v="64"/>
    <n v="57.199999999999996"/>
    <s v="Fail"/>
    <s v="C"/>
    <n v="2"/>
    <s v="AVERAGE"/>
    <m/>
    <x v="1"/>
    <m/>
    <m/>
    <m/>
    <m/>
    <m/>
    <m/>
  </r>
  <r>
    <x v="244"/>
    <x v="0"/>
    <n v="24"/>
    <s v="CIVIL"/>
    <n v="8"/>
    <n v="54"/>
    <n v="4.7"/>
    <n v="57"/>
    <n v="19"/>
    <n v="12"/>
    <n v="89"/>
    <n v="23"/>
    <n v="60"/>
    <n v="63"/>
    <n v="49.4"/>
    <s v="Fail"/>
    <s v="D"/>
    <n v="2"/>
    <s v="AVERAGE"/>
    <m/>
    <x v="1"/>
    <m/>
    <m/>
    <m/>
    <m/>
    <m/>
    <m/>
  </r>
  <r>
    <x v="245"/>
    <x v="0"/>
    <n v="22"/>
    <s v="CSE"/>
    <n v="8"/>
    <n v="40"/>
    <n v="3.8"/>
    <n v="70"/>
    <n v="27"/>
    <n v="49"/>
    <n v="89"/>
    <n v="49"/>
    <n v="75"/>
    <n v="77"/>
    <n v="67.800000000000011"/>
    <s v="Pass"/>
    <s v="B"/>
    <n v="0"/>
    <s v="GOOD"/>
    <m/>
    <x v="0"/>
    <m/>
    <m/>
    <m/>
    <m/>
    <m/>
    <m/>
  </r>
  <r>
    <x v="246"/>
    <x v="1"/>
    <n v="22"/>
    <s v="CSE"/>
    <n v="8"/>
    <n v="79"/>
    <n v="4.0999999999999996"/>
    <n v="84"/>
    <n v="29"/>
    <n v="22"/>
    <n v="95"/>
    <n v="51"/>
    <n v="65"/>
    <n v="73"/>
    <n v="61.199999999999996"/>
    <s v="Fail"/>
    <s v="B"/>
    <n v="1"/>
    <s v="GOOD"/>
    <m/>
    <x v="1"/>
    <m/>
    <m/>
    <m/>
    <m/>
    <m/>
    <m/>
  </r>
  <r>
    <x v="247"/>
    <x v="0"/>
    <n v="24"/>
    <s v="ECE"/>
    <n v="7"/>
    <n v="85"/>
    <n v="4"/>
    <n v="100"/>
    <n v="18"/>
    <n v="71"/>
    <n v="58"/>
    <n v="81"/>
    <n v="98"/>
    <n v="97"/>
    <n v="81"/>
    <s v="Pass"/>
    <s v="A"/>
    <n v="0"/>
    <s v="EXCELLENT"/>
    <m/>
    <x v="0"/>
    <m/>
    <m/>
    <m/>
    <m/>
    <m/>
    <m/>
  </r>
  <r>
    <x v="248"/>
    <x v="0"/>
    <n v="22"/>
    <s v="ECE"/>
    <n v="7"/>
    <n v="48"/>
    <n v="2.5"/>
    <n v="64"/>
    <n v="26"/>
    <n v="17"/>
    <n v="71"/>
    <n v="93"/>
    <n v="65"/>
    <n v="44"/>
    <n v="57.999999999999993"/>
    <s v="Fail"/>
    <s v="C"/>
    <n v="1"/>
    <s v="AVERAGE"/>
    <m/>
    <x v="1"/>
    <m/>
    <m/>
    <m/>
    <m/>
    <m/>
    <m/>
  </r>
  <r>
    <x v="249"/>
    <x v="0"/>
    <n v="22"/>
    <s v="ECE"/>
    <n v="7"/>
    <n v="86"/>
    <n v="1.8"/>
    <n v="91"/>
    <n v="22"/>
    <n v="47"/>
    <n v="28"/>
    <n v="84"/>
    <n v="72"/>
    <n v="100"/>
    <n v="66.2"/>
    <s v="Fail"/>
    <s v="B"/>
    <n v="1"/>
    <s v="GOOD"/>
    <m/>
    <x v="1"/>
    <m/>
    <m/>
    <m/>
    <m/>
    <m/>
    <m/>
  </r>
  <r>
    <x v="250"/>
    <x v="0"/>
    <n v="22"/>
    <s v="ECE"/>
    <n v="8"/>
    <n v="49"/>
    <n v="1.3"/>
    <n v="64"/>
    <n v="33"/>
    <n v="82"/>
    <n v="28"/>
    <n v="47"/>
    <n v="89"/>
    <n v="37"/>
    <n v="56.599999999999994"/>
    <s v="Fail"/>
    <s v="C"/>
    <n v="2"/>
    <s v="AVERAGE"/>
    <m/>
    <x v="1"/>
    <m/>
    <m/>
    <m/>
    <m/>
    <m/>
    <m/>
  </r>
  <r>
    <x v="251"/>
    <x v="0"/>
    <n v="24"/>
    <s v="ME"/>
    <n v="8"/>
    <n v="84"/>
    <n v="5.2"/>
    <n v="81"/>
    <n v="23"/>
    <n v="83"/>
    <n v="34"/>
    <n v="66"/>
    <n v="87"/>
    <n v="71"/>
    <n v="68.2"/>
    <s v="Fail"/>
    <s v="B"/>
    <n v="1"/>
    <s v="GOOD"/>
    <m/>
    <x v="1"/>
    <m/>
    <m/>
    <m/>
    <m/>
    <m/>
    <m/>
  </r>
  <r>
    <x v="252"/>
    <x v="1"/>
    <n v="24"/>
    <s v="CSE"/>
    <n v="7"/>
    <n v="59"/>
    <n v="1.5"/>
    <n v="56"/>
    <n v="26"/>
    <n v="62"/>
    <n v="25"/>
    <n v="91"/>
    <n v="94"/>
    <n v="48"/>
    <n v="64"/>
    <s v="Fail"/>
    <s v="B"/>
    <n v="1"/>
    <s v="GOOD"/>
    <m/>
    <x v="1"/>
    <m/>
    <m/>
    <m/>
    <m/>
    <m/>
    <m/>
  </r>
  <r>
    <x v="253"/>
    <x v="0"/>
    <n v="21"/>
    <s v="ECE"/>
    <n v="7"/>
    <n v="78"/>
    <n v="1.7"/>
    <n v="94"/>
    <n v="39"/>
    <n v="76"/>
    <n v="27"/>
    <n v="60"/>
    <n v="91"/>
    <n v="96"/>
    <n v="70"/>
    <s v="Fail"/>
    <s v="B"/>
    <n v="1"/>
    <s v="GOOD"/>
    <m/>
    <x v="1"/>
    <m/>
    <m/>
    <m/>
    <m/>
    <m/>
    <m/>
  </r>
  <r>
    <x v="254"/>
    <x v="1"/>
    <n v="22"/>
    <s v="ECE"/>
    <n v="7"/>
    <n v="91"/>
    <n v="1.3"/>
    <n v="96"/>
    <n v="45"/>
    <n v="20"/>
    <n v="21"/>
    <n v="92"/>
    <n v="83"/>
    <n v="48"/>
    <n v="52.800000000000004"/>
    <s v="Fail"/>
    <s v="C"/>
    <n v="2"/>
    <s v="AVERAGE"/>
    <m/>
    <x v="1"/>
    <m/>
    <m/>
    <m/>
    <m/>
    <m/>
    <m/>
  </r>
  <r>
    <x v="255"/>
    <x v="0"/>
    <n v="22"/>
    <s v="CIVIL"/>
    <n v="7"/>
    <n v="94"/>
    <n v="1.1000000000000001"/>
    <n v="83"/>
    <n v="24"/>
    <n v="68"/>
    <n v="62"/>
    <n v="67"/>
    <n v="62"/>
    <n v="66"/>
    <n v="65"/>
    <s v="Pass"/>
    <s v="B"/>
    <n v="0"/>
    <s v="GOOD"/>
    <m/>
    <x v="0"/>
    <m/>
    <m/>
    <m/>
    <m/>
    <m/>
    <m/>
  </r>
  <r>
    <x v="256"/>
    <x v="1"/>
    <n v="23"/>
    <s v="ME"/>
    <n v="7"/>
    <n v="31"/>
    <n v="5.0999999999999996"/>
    <n v="50"/>
    <n v="44"/>
    <n v="81"/>
    <n v="81"/>
    <n v="55"/>
    <n v="78"/>
    <n v="35"/>
    <n v="66"/>
    <s v="Fail"/>
    <s v="B"/>
    <n v="1"/>
    <s v="GOOD"/>
    <m/>
    <x v="1"/>
    <m/>
    <m/>
    <m/>
    <m/>
    <m/>
    <m/>
  </r>
  <r>
    <x v="257"/>
    <x v="1"/>
    <n v="23"/>
    <s v="CIVIL"/>
    <n v="8"/>
    <n v="94"/>
    <n v="5.3"/>
    <n v="89"/>
    <n v="47"/>
    <n v="63"/>
    <n v="95"/>
    <n v="94"/>
    <n v="79"/>
    <n v="89"/>
    <n v="84"/>
    <s v="Pass"/>
    <s v="A"/>
    <n v="0"/>
    <s v="EXCELLENT"/>
    <m/>
    <x v="0"/>
    <m/>
    <m/>
    <m/>
    <m/>
    <m/>
    <m/>
  </r>
  <r>
    <x v="258"/>
    <x v="1"/>
    <n v="24"/>
    <s v="ECE"/>
    <n v="8"/>
    <n v="92"/>
    <n v="4.3"/>
    <n v="91"/>
    <n v="34"/>
    <n v="19"/>
    <n v="82"/>
    <n v="57"/>
    <n v="71"/>
    <n v="93"/>
    <n v="64.400000000000006"/>
    <s v="Fail"/>
    <s v="B"/>
    <n v="1"/>
    <s v="GOOD"/>
    <m/>
    <x v="1"/>
    <m/>
    <m/>
    <m/>
    <m/>
    <m/>
    <m/>
  </r>
  <r>
    <x v="259"/>
    <x v="1"/>
    <n v="22"/>
    <s v="ECE"/>
    <n v="7"/>
    <n v="80"/>
    <n v="3.7"/>
    <n v="99"/>
    <n v="20"/>
    <n v="20"/>
    <n v="59"/>
    <n v="62"/>
    <n v="94"/>
    <n v="57"/>
    <n v="58.4"/>
    <s v="Fail"/>
    <s v="C"/>
    <n v="1"/>
    <s v="AVERAGE"/>
    <m/>
    <x v="1"/>
    <m/>
    <m/>
    <m/>
    <m/>
    <m/>
    <m/>
  </r>
  <r>
    <x v="260"/>
    <x v="0"/>
    <n v="22"/>
    <s v="CIVIL"/>
    <n v="7"/>
    <n v="78"/>
    <n v="4.9000000000000004"/>
    <n v="75"/>
    <n v="33"/>
    <n v="30"/>
    <n v="15"/>
    <n v="40"/>
    <n v="68"/>
    <n v="74"/>
    <n v="45.4"/>
    <s v="Fail"/>
    <s v="D"/>
    <n v="2"/>
    <s v="AVERAGE"/>
    <m/>
    <x v="1"/>
    <m/>
    <m/>
    <m/>
    <m/>
    <m/>
    <m/>
  </r>
  <r>
    <x v="261"/>
    <x v="0"/>
    <n v="23"/>
    <s v="CIVIL"/>
    <n v="8"/>
    <n v="75"/>
    <n v="5.2"/>
    <n v="78"/>
    <n v="21"/>
    <n v="33"/>
    <n v="57"/>
    <n v="43"/>
    <n v="84"/>
    <n v="63"/>
    <n v="56.000000000000007"/>
    <s v="Fail"/>
    <s v="C"/>
    <n v="1"/>
    <s v="AVERAGE"/>
    <m/>
    <x v="1"/>
    <m/>
    <m/>
    <m/>
    <m/>
    <m/>
    <m/>
  </r>
  <r>
    <x v="262"/>
    <x v="0"/>
    <n v="23"/>
    <s v="ME"/>
    <n v="7"/>
    <n v="46"/>
    <n v="2.2000000000000002"/>
    <n v="57"/>
    <n v="44"/>
    <n v="20"/>
    <n v="48"/>
    <n v="42"/>
    <n v="50"/>
    <n v="89"/>
    <n v="49.8"/>
    <s v="Fail"/>
    <s v="D"/>
    <n v="1"/>
    <s v="AVERAGE"/>
    <m/>
    <x v="1"/>
    <m/>
    <m/>
    <m/>
    <m/>
    <m/>
    <m/>
  </r>
  <r>
    <x v="263"/>
    <x v="0"/>
    <n v="24"/>
    <s v="CSE"/>
    <n v="7"/>
    <n v="61"/>
    <n v="2.5"/>
    <n v="67"/>
    <n v="45"/>
    <n v="24"/>
    <n v="79"/>
    <n v="25"/>
    <n v="52"/>
    <n v="51"/>
    <n v="46.2"/>
    <s v="Fail"/>
    <s v="D"/>
    <n v="2"/>
    <s v="AVERAGE"/>
    <m/>
    <x v="1"/>
    <m/>
    <m/>
    <m/>
    <m/>
    <m/>
    <m/>
  </r>
  <r>
    <x v="264"/>
    <x v="1"/>
    <n v="22"/>
    <s v="CSE"/>
    <n v="8"/>
    <n v="85"/>
    <n v="4.5999999999999996"/>
    <n v="87"/>
    <n v="21"/>
    <n v="45"/>
    <n v="29"/>
    <n v="29"/>
    <n v="82"/>
    <n v="33"/>
    <n v="43.6"/>
    <s v="Fail"/>
    <s v="D"/>
    <n v="3"/>
    <s v="AVERAGE"/>
    <m/>
    <x v="1"/>
    <m/>
    <m/>
    <m/>
    <m/>
    <m/>
    <m/>
  </r>
  <r>
    <x v="265"/>
    <x v="0"/>
    <n v="24"/>
    <s v="CIVIL"/>
    <n v="7"/>
    <n v="84"/>
    <n v="1.4"/>
    <n v="94"/>
    <n v="29"/>
    <n v="79"/>
    <n v="33"/>
    <n v="47"/>
    <n v="64"/>
    <n v="58"/>
    <n v="56.2"/>
    <s v="Fail"/>
    <s v="C"/>
    <n v="1"/>
    <s v="AVERAGE"/>
    <m/>
    <x v="1"/>
    <m/>
    <m/>
    <m/>
    <m/>
    <m/>
    <m/>
  </r>
  <r>
    <x v="266"/>
    <x v="1"/>
    <n v="22"/>
    <s v="CIVIL"/>
    <n v="8"/>
    <n v="49"/>
    <n v="3.7"/>
    <n v="61"/>
    <n v="40"/>
    <n v="40"/>
    <n v="28"/>
    <n v="59"/>
    <n v="60"/>
    <n v="50"/>
    <n v="47.4"/>
    <s v="Fail"/>
    <s v="D"/>
    <n v="1"/>
    <s v="AVERAGE"/>
    <m/>
    <x v="1"/>
    <m/>
    <m/>
    <m/>
    <m/>
    <m/>
    <m/>
  </r>
  <r>
    <x v="267"/>
    <x v="0"/>
    <n v="24"/>
    <s v="ME"/>
    <n v="7"/>
    <n v="54"/>
    <n v="4.4000000000000004"/>
    <n v="56"/>
    <n v="50"/>
    <n v="82"/>
    <n v="60"/>
    <n v="92"/>
    <n v="51"/>
    <n v="66"/>
    <n v="70.199999999999989"/>
    <s v="Pass"/>
    <s v="B"/>
    <n v="0"/>
    <s v="GOOD"/>
    <m/>
    <x v="0"/>
    <m/>
    <m/>
    <m/>
    <m/>
    <m/>
    <m/>
  </r>
  <r>
    <x v="268"/>
    <x v="0"/>
    <n v="23"/>
    <s v="CSE"/>
    <n v="8"/>
    <n v="69"/>
    <n v="1.8"/>
    <n v="65"/>
    <n v="41"/>
    <n v="79"/>
    <n v="91"/>
    <n v="28"/>
    <n v="62"/>
    <n v="76"/>
    <n v="67.2"/>
    <s v="Fail"/>
    <s v="B"/>
    <n v="1"/>
    <s v="GOOD"/>
    <m/>
    <x v="1"/>
    <m/>
    <m/>
    <m/>
    <m/>
    <m/>
    <m/>
  </r>
  <r>
    <x v="269"/>
    <x v="0"/>
    <n v="23"/>
    <s v="CIVIL"/>
    <n v="7"/>
    <n v="40"/>
    <n v="2.6"/>
    <n v="62"/>
    <n v="26"/>
    <n v="38"/>
    <n v="22"/>
    <n v="36"/>
    <n v="71"/>
    <n v="39"/>
    <n v="41.199999999999996"/>
    <s v="Fail"/>
    <s v="D"/>
    <n v="4"/>
    <s v="AVERAGE"/>
    <m/>
    <x v="1"/>
    <m/>
    <m/>
    <m/>
    <m/>
    <m/>
    <m/>
  </r>
  <r>
    <x v="270"/>
    <x v="1"/>
    <n v="24"/>
    <s v="ECE"/>
    <n v="8"/>
    <n v="86"/>
    <n v="1.9"/>
    <n v="93"/>
    <n v="23"/>
    <n v="17"/>
    <n v="32"/>
    <n v="65"/>
    <n v="89"/>
    <n v="33"/>
    <n v="47.199999999999996"/>
    <s v="Fail"/>
    <s v="D"/>
    <n v="3"/>
    <s v="AVERAGE"/>
    <m/>
    <x v="1"/>
    <m/>
    <m/>
    <m/>
    <m/>
    <m/>
    <m/>
  </r>
  <r>
    <x v="271"/>
    <x v="1"/>
    <n v="23"/>
    <s v="ME"/>
    <n v="8"/>
    <n v="80"/>
    <n v="5.8"/>
    <n v="76"/>
    <n v="31"/>
    <n v="33"/>
    <n v="56"/>
    <n v="87"/>
    <n v="72"/>
    <n v="75"/>
    <n v="64.600000000000009"/>
    <s v="Fail"/>
    <s v="B"/>
    <n v="1"/>
    <s v="GOOD"/>
    <m/>
    <x v="1"/>
    <m/>
    <m/>
    <m/>
    <m/>
    <m/>
    <m/>
  </r>
  <r>
    <x v="272"/>
    <x v="1"/>
    <n v="24"/>
    <s v="ECE"/>
    <n v="7"/>
    <n v="83"/>
    <n v="5.2"/>
    <n v="85"/>
    <n v="49"/>
    <n v="21"/>
    <n v="29"/>
    <n v="54"/>
    <n v="50"/>
    <n v="80"/>
    <n v="46.800000000000004"/>
    <s v="Fail"/>
    <s v="D"/>
    <n v="2"/>
    <s v="AVERAGE"/>
    <m/>
    <x v="1"/>
    <m/>
    <m/>
    <m/>
    <m/>
    <m/>
    <m/>
  </r>
  <r>
    <x v="273"/>
    <x v="0"/>
    <n v="21"/>
    <s v="CIVIL"/>
    <n v="7"/>
    <n v="89"/>
    <n v="3.9"/>
    <n v="91"/>
    <n v="36"/>
    <n v="59"/>
    <n v="92"/>
    <n v="83"/>
    <n v="75"/>
    <n v="92"/>
    <n v="80.2"/>
    <s v="Pass"/>
    <s v="A"/>
    <n v="0"/>
    <s v="EXCELLENT"/>
    <m/>
    <x v="0"/>
    <m/>
    <m/>
    <m/>
    <m/>
    <m/>
    <m/>
  </r>
  <r>
    <x v="274"/>
    <x v="1"/>
    <n v="23"/>
    <s v="CSE"/>
    <n v="8"/>
    <n v="87"/>
    <n v="4"/>
    <n v="89"/>
    <n v="24"/>
    <n v="71"/>
    <n v="76"/>
    <n v="97"/>
    <n v="54"/>
    <n v="44"/>
    <n v="68.400000000000006"/>
    <s v="Pass"/>
    <s v="B"/>
    <n v="0"/>
    <s v="GOOD"/>
    <m/>
    <x v="0"/>
    <m/>
    <m/>
    <m/>
    <m/>
    <m/>
    <m/>
  </r>
  <r>
    <x v="275"/>
    <x v="0"/>
    <n v="24"/>
    <s v="ME"/>
    <n v="8"/>
    <n v="53"/>
    <n v="3.9"/>
    <n v="64"/>
    <n v="45"/>
    <n v="88"/>
    <n v="92"/>
    <n v="53"/>
    <n v="53"/>
    <n v="55"/>
    <n v="68.2"/>
    <s v="Pass"/>
    <s v="B"/>
    <n v="0"/>
    <s v="GOOD"/>
    <m/>
    <x v="0"/>
    <m/>
    <m/>
    <m/>
    <m/>
    <m/>
    <m/>
  </r>
  <r>
    <x v="276"/>
    <x v="1"/>
    <n v="23"/>
    <s v="ME"/>
    <n v="8"/>
    <n v="86"/>
    <n v="2.4"/>
    <n v="100"/>
    <n v="46"/>
    <n v="36"/>
    <n v="71"/>
    <n v="48"/>
    <n v="50"/>
    <n v="92"/>
    <n v="59.4"/>
    <s v="Fail"/>
    <s v="C"/>
    <n v="1"/>
    <s v="AVERAGE"/>
    <m/>
    <x v="1"/>
    <m/>
    <m/>
    <m/>
    <m/>
    <m/>
    <m/>
  </r>
  <r>
    <x v="277"/>
    <x v="1"/>
    <n v="24"/>
    <s v="CIVIL"/>
    <n v="7"/>
    <n v="67"/>
    <n v="2"/>
    <n v="57"/>
    <n v="37"/>
    <n v="26"/>
    <n v="94"/>
    <n v="29"/>
    <n v="92"/>
    <n v="64"/>
    <n v="61"/>
    <s v="Fail"/>
    <s v="B"/>
    <n v="2"/>
    <s v="GOOD"/>
    <m/>
    <x v="1"/>
    <m/>
    <m/>
    <m/>
    <m/>
    <m/>
    <m/>
  </r>
  <r>
    <x v="278"/>
    <x v="0"/>
    <n v="23"/>
    <s v="ECE"/>
    <n v="8"/>
    <n v="91"/>
    <n v="5"/>
    <n v="75"/>
    <n v="43"/>
    <n v="38"/>
    <n v="14"/>
    <n v="26"/>
    <n v="95"/>
    <n v="98"/>
    <n v="54.2"/>
    <s v="Fail"/>
    <s v="C"/>
    <n v="3"/>
    <s v="AVERAGE"/>
    <m/>
    <x v="1"/>
    <m/>
    <m/>
    <m/>
    <m/>
    <m/>
    <m/>
  </r>
  <r>
    <x v="279"/>
    <x v="0"/>
    <n v="22"/>
    <s v="ECE"/>
    <n v="7"/>
    <n v="87"/>
    <n v="4.3"/>
    <n v="100"/>
    <n v="28"/>
    <n v="30"/>
    <n v="68"/>
    <n v="84"/>
    <n v="54"/>
    <n v="43"/>
    <n v="55.800000000000004"/>
    <s v="Fail"/>
    <s v="C"/>
    <n v="1"/>
    <s v="AVERAGE"/>
    <m/>
    <x v="1"/>
    <m/>
    <m/>
    <m/>
    <m/>
    <m/>
    <m/>
  </r>
  <r>
    <x v="280"/>
    <x v="0"/>
    <n v="22"/>
    <s v="CSE"/>
    <n v="8"/>
    <n v="65"/>
    <n v="1.1000000000000001"/>
    <n v="64"/>
    <n v="47"/>
    <n v="66"/>
    <n v="63"/>
    <n v="79"/>
    <n v="60"/>
    <n v="53"/>
    <n v="64.2"/>
    <s v="Pass"/>
    <s v="B"/>
    <n v="0"/>
    <s v="GOOD"/>
    <m/>
    <x v="0"/>
    <m/>
    <m/>
    <m/>
    <m/>
    <m/>
    <m/>
  </r>
  <r>
    <x v="281"/>
    <x v="1"/>
    <n v="24"/>
    <s v="ME"/>
    <n v="8"/>
    <n v="76"/>
    <n v="4.4000000000000004"/>
    <n v="85"/>
    <n v="28"/>
    <n v="62"/>
    <n v="45"/>
    <n v="90"/>
    <n v="50"/>
    <n v="91"/>
    <n v="67.600000000000009"/>
    <s v="Pass"/>
    <s v="B"/>
    <n v="0"/>
    <s v="GOOD"/>
    <m/>
    <x v="0"/>
    <m/>
    <m/>
    <m/>
    <m/>
    <m/>
    <m/>
  </r>
  <r>
    <x v="282"/>
    <x v="0"/>
    <n v="22"/>
    <s v="CIVIL"/>
    <n v="7"/>
    <n v="64"/>
    <n v="3.8"/>
    <n v="55"/>
    <n v="30"/>
    <n v="70"/>
    <n v="29"/>
    <n v="73"/>
    <n v="75"/>
    <n v="72"/>
    <n v="63.800000000000004"/>
    <s v="Fail"/>
    <s v="B"/>
    <n v="1"/>
    <s v="GOOD"/>
    <m/>
    <x v="1"/>
    <m/>
    <m/>
    <m/>
    <m/>
    <m/>
    <m/>
  </r>
  <r>
    <x v="283"/>
    <x v="1"/>
    <n v="24"/>
    <s v="CSE"/>
    <n v="7"/>
    <n v="78"/>
    <n v="2.2999999999999998"/>
    <n v="79"/>
    <n v="24"/>
    <n v="14"/>
    <n v="45"/>
    <n v="79"/>
    <n v="56"/>
    <n v="35"/>
    <n v="45.800000000000004"/>
    <s v="Fail"/>
    <s v="D"/>
    <n v="2"/>
    <s v="AVERAGE"/>
    <m/>
    <x v="1"/>
    <m/>
    <m/>
    <m/>
    <m/>
    <m/>
    <m/>
  </r>
  <r>
    <x v="284"/>
    <x v="1"/>
    <n v="21"/>
    <s v="ME"/>
    <n v="8"/>
    <n v="75"/>
    <n v="4.5999999999999996"/>
    <n v="66"/>
    <n v="18"/>
    <n v="63"/>
    <n v="53"/>
    <n v="31"/>
    <n v="71"/>
    <n v="75"/>
    <n v="58.599999999999994"/>
    <s v="Fail"/>
    <s v="C"/>
    <n v="1"/>
    <s v="AVERAGE"/>
    <m/>
    <x v="1"/>
    <m/>
    <m/>
    <m/>
    <m/>
    <m/>
    <m/>
  </r>
  <r>
    <x v="285"/>
    <x v="0"/>
    <n v="24"/>
    <s v="ME"/>
    <n v="7"/>
    <n v="83"/>
    <n v="1"/>
    <n v="85"/>
    <n v="22"/>
    <n v="81"/>
    <n v="85"/>
    <n v="95"/>
    <n v="78"/>
    <n v="57"/>
    <n v="79.2"/>
    <s v="Pass"/>
    <s v="B"/>
    <n v="0"/>
    <s v="GOOD"/>
    <m/>
    <x v="0"/>
    <m/>
    <m/>
    <m/>
    <m/>
    <m/>
    <m/>
  </r>
  <r>
    <x v="286"/>
    <x v="1"/>
    <n v="23"/>
    <s v="CIVIL"/>
    <n v="8"/>
    <n v="90"/>
    <n v="1.6"/>
    <n v="71"/>
    <n v="29"/>
    <n v="15"/>
    <n v="75"/>
    <n v="97"/>
    <n v="54"/>
    <n v="61"/>
    <n v="60.4"/>
    <s v="Fail"/>
    <s v="B"/>
    <n v="1"/>
    <s v="GOOD"/>
    <m/>
    <x v="1"/>
    <m/>
    <m/>
    <m/>
    <m/>
    <m/>
    <m/>
  </r>
  <r>
    <x v="287"/>
    <x v="0"/>
    <n v="23"/>
    <s v="ME"/>
    <n v="8"/>
    <n v="81"/>
    <n v="5"/>
    <n v="87"/>
    <n v="36"/>
    <n v="95"/>
    <n v="85"/>
    <n v="61"/>
    <n v="56"/>
    <n v="99"/>
    <n v="79.2"/>
    <s v="Pass"/>
    <s v="B"/>
    <n v="0"/>
    <s v="GOOD"/>
    <m/>
    <x v="0"/>
    <m/>
    <m/>
    <m/>
    <m/>
    <m/>
    <m/>
  </r>
  <r>
    <x v="288"/>
    <x v="0"/>
    <n v="23"/>
    <s v="CIVIL"/>
    <n v="8"/>
    <n v="69"/>
    <n v="4"/>
    <n v="58"/>
    <n v="33"/>
    <n v="59"/>
    <n v="33"/>
    <n v="42"/>
    <n v="63"/>
    <n v="75"/>
    <n v="54.400000000000006"/>
    <s v="Fail"/>
    <s v="C"/>
    <n v="1"/>
    <s v="AVERAGE"/>
    <m/>
    <x v="1"/>
    <m/>
    <m/>
    <m/>
    <m/>
    <m/>
    <m/>
  </r>
  <r>
    <x v="289"/>
    <x v="0"/>
    <n v="23"/>
    <s v="CSE"/>
    <n v="7"/>
    <n v="90"/>
    <n v="5.6"/>
    <n v="78"/>
    <n v="21"/>
    <n v="53"/>
    <n v="34"/>
    <n v="32"/>
    <n v="86"/>
    <n v="89"/>
    <n v="58.8"/>
    <s v="Fail"/>
    <s v="C"/>
    <n v="2"/>
    <s v="AVERAGE"/>
    <m/>
    <x v="1"/>
    <m/>
    <m/>
    <m/>
    <m/>
    <m/>
    <m/>
  </r>
  <r>
    <x v="290"/>
    <x v="1"/>
    <n v="22"/>
    <s v="ECE"/>
    <n v="7"/>
    <n v="94"/>
    <n v="5.4"/>
    <n v="77"/>
    <n v="34"/>
    <n v="15"/>
    <n v="30"/>
    <n v="50"/>
    <n v="69"/>
    <n v="94"/>
    <n v="51.6"/>
    <s v="Fail"/>
    <s v="C"/>
    <n v="2"/>
    <s v="AVERAGE"/>
    <m/>
    <x v="1"/>
    <m/>
    <m/>
    <m/>
    <m/>
    <m/>
    <m/>
  </r>
  <r>
    <x v="291"/>
    <x v="0"/>
    <n v="22"/>
    <s v="ECE"/>
    <n v="8"/>
    <n v="35"/>
    <n v="5.6"/>
    <n v="50"/>
    <n v="44"/>
    <n v="79"/>
    <n v="82"/>
    <n v="70"/>
    <n v="62"/>
    <n v="94"/>
    <n v="77.400000000000006"/>
    <s v="Pass"/>
    <s v="B"/>
    <n v="0"/>
    <s v="GOOD"/>
    <m/>
    <x v="0"/>
    <m/>
    <m/>
    <m/>
    <m/>
    <m/>
    <m/>
  </r>
  <r>
    <x v="292"/>
    <x v="0"/>
    <n v="24"/>
    <s v="CSE"/>
    <n v="7"/>
    <n v="47"/>
    <n v="2.6"/>
    <n v="68"/>
    <n v="50"/>
    <n v="11"/>
    <n v="70"/>
    <n v="69"/>
    <n v="98"/>
    <n v="78"/>
    <n v="65.2"/>
    <s v="Fail"/>
    <s v="B"/>
    <n v="1"/>
    <s v="GOOD"/>
    <m/>
    <x v="1"/>
    <m/>
    <m/>
    <m/>
    <m/>
    <m/>
    <m/>
  </r>
  <r>
    <x v="293"/>
    <x v="0"/>
    <n v="23"/>
    <s v="ME"/>
    <n v="7"/>
    <n v="64"/>
    <n v="4.3"/>
    <n v="53"/>
    <n v="29"/>
    <n v="46"/>
    <n v="33"/>
    <n v="39"/>
    <n v="76"/>
    <n v="46"/>
    <n v="48"/>
    <s v="Fail"/>
    <s v="D"/>
    <n v="2"/>
    <s v="AVERAGE"/>
    <m/>
    <x v="1"/>
    <m/>
    <m/>
    <m/>
    <m/>
    <m/>
    <m/>
  </r>
  <r>
    <x v="294"/>
    <x v="0"/>
    <n v="24"/>
    <s v="ME"/>
    <n v="8"/>
    <n v="68"/>
    <n v="3.7"/>
    <n v="67"/>
    <n v="41"/>
    <n v="90"/>
    <n v="36"/>
    <n v="97"/>
    <n v="56"/>
    <n v="78"/>
    <n v="71.399999999999991"/>
    <s v="Fail"/>
    <s v="B"/>
    <n v="1"/>
    <s v="GOOD"/>
    <m/>
    <x v="1"/>
    <m/>
    <m/>
    <m/>
    <m/>
    <m/>
    <m/>
  </r>
  <r>
    <x v="295"/>
    <x v="0"/>
    <n v="21"/>
    <s v="ME"/>
    <n v="8"/>
    <n v="72"/>
    <n v="1.2"/>
    <n v="67"/>
    <n v="33"/>
    <n v="22"/>
    <n v="35"/>
    <n v="87"/>
    <n v="96"/>
    <n v="98"/>
    <n v="67.600000000000009"/>
    <s v="Fail"/>
    <s v="B"/>
    <n v="2"/>
    <s v="GOOD"/>
    <m/>
    <x v="1"/>
    <m/>
    <m/>
    <m/>
    <m/>
    <m/>
    <m/>
  </r>
  <r>
    <x v="296"/>
    <x v="1"/>
    <n v="24"/>
    <s v="CIVIL"/>
    <n v="8"/>
    <n v="88"/>
    <n v="5"/>
    <n v="98"/>
    <n v="45"/>
    <n v="70"/>
    <n v="74"/>
    <n v="71"/>
    <n v="54"/>
    <n v="71"/>
    <n v="68"/>
    <s v="Pass"/>
    <s v="B"/>
    <n v="0"/>
    <s v="GOOD"/>
    <m/>
    <x v="0"/>
    <m/>
    <m/>
    <m/>
    <m/>
    <m/>
    <m/>
  </r>
  <r>
    <x v="297"/>
    <x v="1"/>
    <n v="23"/>
    <s v="CIVIL"/>
    <n v="8"/>
    <n v="47"/>
    <n v="4.5999999999999996"/>
    <n v="59"/>
    <n v="29"/>
    <n v="45"/>
    <n v="60"/>
    <n v="84"/>
    <n v="87"/>
    <n v="47"/>
    <n v="64.600000000000009"/>
    <s v="Pass"/>
    <s v="B"/>
    <n v="0"/>
    <s v="GOOD"/>
    <m/>
    <x v="0"/>
    <m/>
    <m/>
    <m/>
    <m/>
    <m/>
    <m/>
  </r>
  <r>
    <x v="298"/>
    <x v="0"/>
    <n v="23"/>
    <s v="ECE"/>
    <n v="8"/>
    <n v="91"/>
    <n v="4.8"/>
    <n v="90"/>
    <n v="39"/>
    <n v="29"/>
    <n v="73"/>
    <n v="25"/>
    <n v="58"/>
    <n v="74"/>
    <n v="51.800000000000004"/>
    <s v="Fail"/>
    <s v="C"/>
    <n v="2"/>
    <s v="AVERAGE"/>
    <m/>
    <x v="1"/>
    <m/>
    <m/>
    <m/>
    <m/>
    <m/>
    <m/>
  </r>
  <r>
    <x v="299"/>
    <x v="1"/>
    <n v="24"/>
    <s v="ME"/>
    <n v="7"/>
    <n v="78"/>
    <n v="2.2999999999999998"/>
    <n v="86"/>
    <n v="25"/>
    <n v="15"/>
    <n v="53"/>
    <n v="70"/>
    <n v="64"/>
    <n v="69"/>
    <n v="54.2"/>
    <s v="Fail"/>
    <s v="C"/>
    <n v="1"/>
    <s v="AVERAGE"/>
    <m/>
    <x v="1"/>
    <m/>
    <m/>
    <m/>
    <m/>
    <m/>
    <m/>
  </r>
  <r>
    <x v="300"/>
    <x v="2"/>
    <m/>
    <m/>
    <m/>
    <m/>
    <m/>
    <m/>
    <m/>
    <m/>
    <m/>
    <m/>
    <m/>
    <m/>
    <m/>
    <m/>
    <m/>
    <m/>
    <m/>
    <m/>
    <x v="2"/>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C9709D-B163-405E-92B8-4DC5D30D0205}"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7" firstHeaderRow="1" firstDataRow="1" firstDataCol="1"/>
  <pivotFields count="20">
    <pivotField dataField="1"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2"/>
        <item x="0"/>
        <item x="3"/>
        <item h="1" x="4"/>
        <item t="default"/>
      </items>
    </pivotField>
    <pivotField showAll="0">
      <items count="4">
        <item x="1"/>
        <item x="0"/>
        <item x="2"/>
        <item t="default"/>
      </items>
    </pivotField>
  </pivotFields>
  <rowFields count="1">
    <field x="18"/>
  </rowFields>
  <rowItems count="4">
    <i>
      <x/>
    </i>
    <i>
      <x v="1"/>
    </i>
    <i>
      <x v="2"/>
    </i>
    <i>
      <x v="3"/>
    </i>
  </rowItems>
  <colItems count="1">
    <i/>
  </colItems>
  <dataFields count="1">
    <dataField name="Count of STUDENT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2"/>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8" count="1" selected="0">
            <x v="0"/>
          </reference>
        </references>
      </pivotArea>
    </chartFormat>
    <chartFormat chart="4" format="11">
      <pivotArea type="data" outline="0" fieldPosition="0">
        <references count="2">
          <reference field="4294967294" count="1" selected="0">
            <x v="0"/>
          </reference>
          <reference field="18" count="1" selected="0">
            <x v="1"/>
          </reference>
        </references>
      </pivotArea>
    </chartFormat>
    <chartFormat chart="4" format="12">
      <pivotArea type="data" outline="0" fieldPosition="0">
        <references count="2">
          <reference field="4294967294" count="1" selected="0">
            <x v="0"/>
          </reference>
          <reference field="18" count="1" selected="0">
            <x v="2"/>
          </reference>
        </references>
      </pivotArea>
    </chartFormat>
    <chartFormat chart="4" format="13">
      <pivotArea type="data" outline="0" fieldPosition="0">
        <references count="2">
          <reference field="4294967294" count="1" selected="0">
            <x v="0"/>
          </reference>
          <reference field="18" count="1" selected="0">
            <x v="3"/>
          </reference>
        </references>
      </pivotArea>
    </chartFormat>
    <chartFormat chart="4" format="14">
      <pivotArea type="data" outline="0" fieldPosition="0">
        <references count="2">
          <reference field="4294967294" count="1" selected="0">
            <x v="0"/>
          </reference>
          <reference field="18" count="1" selected="0">
            <x v="4"/>
          </reference>
        </references>
      </pivotArea>
    </chartFormat>
    <chartFormat chart="0" format="3">
      <pivotArea type="data" outline="0" fieldPosition="0">
        <references count="2">
          <reference field="4294967294" count="1" selected="0">
            <x v="0"/>
          </reference>
          <reference field="18" count="1" selected="0">
            <x v="1"/>
          </reference>
        </references>
      </pivotArea>
    </chartFormat>
    <chartFormat chart="0" format="4">
      <pivotArea type="data" outline="0" fieldPosition="0">
        <references count="2">
          <reference field="4294967294" count="1" selected="0">
            <x v="0"/>
          </reference>
          <reference field="18" count="1" selected="0">
            <x v="3"/>
          </reference>
        </references>
      </pivotArea>
    </chartFormat>
    <chartFormat chart="0" format="5">
      <pivotArea type="data" outline="0" fieldPosition="0">
        <references count="2">
          <reference field="4294967294" count="1" selected="0">
            <x v="0"/>
          </reference>
          <reference field="1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FCC59E-716D-4042-B65B-3FE4B26C76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20">
    <pivotField dataField="1"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x="2"/>
        <item x="0"/>
        <item x="3"/>
        <item h="1" x="4"/>
        <item t="default"/>
      </items>
    </pivotField>
    <pivotField showAll="0">
      <items count="4">
        <item x="1"/>
        <item x="0"/>
        <item x="2"/>
        <item t="default"/>
      </items>
    </pivotField>
  </pivotFields>
  <rowFields count="1">
    <field x="1"/>
  </rowFields>
  <rowItems count="3">
    <i>
      <x/>
    </i>
    <i>
      <x v="1"/>
    </i>
    <i t="grand">
      <x/>
    </i>
  </rowItems>
  <colItems count="1">
    <i/>
  </colItems>
  <dataFields count="1">
    <dataField name="Count of STUD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60363E-7FD6-48EB-8F28-DBAEC41FC3D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20">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3">
        <item x="1"/>
        <item x="0"/>
        <item t="default"/>
      </items>
    </pivotField>
    <pivotField showAll="0">
      <items count="5">
        <item x="3"/>
        <item x="2"/>
        <item x="1"/>
        <item x="0"/>
        <item t="default"/>
      </items>
    </pivotField>
    <pivotField showAll="0">
      <items count="5">
        <item x="1"/>
        <item x="0"/>
        <item x="3"/>
        <item x="2"/>
        <item t="default"/>
      </items>
    </pivotField>
    <pivotField showAll="0">
      <items count="3">
        <item x="1"/>
        <item x="0"/>
        <item t="default"/>
      </items>
    </pivotField>
    <pivotField showAll="0">
      <items count="63">
        <item x="39"/>
        <item x="41"/>
        <item x="60"/>
        <item x="61"/>
        <item x="16"/>
        <item x="48"/>
        <item x="49"/>
        <item x="20"/>
        <item x="52"/>
        <item x="35"/>
        <item x="40"/>
        <item x="24"/>
        <item x="45"/>
        <item x="29"/>
        <item x="43"/>
        <item x="14"/>
        <item x="13"/>
        <item x="18"/>
        <item x="23"/>
        <item x="11"/>
        <item x="31"/>
        <item x="46"/>
        <item x="9"/>
        <item x="1"/>
        <item x="58"/>
        <item x="37"/>
        <item x="47"/>
        <item x="36"/>
        <item x="10"/>
        <item x="4"/>
        <item x="33"/>
        <item x="22"/>
        <item x="15"/>
        <item x="54"/>
        <item x="59"/>
        <item x="55"/>
        <item x="50"/>
        <item x="56"/>
        <item x="34"/>
        <item x="51"/>
        <item x="53"/>
        <item x="42"/>
        <item x="57"/>
        <item x="19"/>
        <item x="5"/>
        <item x="2"/>
        <item x="28"/>
        <item x="44"/>
        <item x="17"/>
        <item x="26"/>
        <item x="7"/>
        <item x="32"/>
        <item x="21"/>
        <item x="0"/>
        <item x="6"/>
        <item x="8"/>
        <item x="3"/>
        <item x="38"/>
        <item x="27"/>
        <item x="30"/>
        <item x="25"/>
        <item x="12"/>
        <item t="default"/>
      </items>
    </pivotField>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items count="3">
        <item x="1"/>
        <item x="0"/>
        <item t="default"/>
      </items>
    </pivotField>
  </pivotFields>
  <rowFields count="1">
    <field x="15"/>
  </rowFields>
  <rowItems count="3">
    <i>
      <x/>
    </i>
    <i>
      <x v="1"/>
    </i>
    <i t="grand">
      <x/>
    </i>
  </rowItems>
  <colItems count="1">
    <i/>
  </colItems>
  <dataFields count="1">
    <dataField name="Count of STUDENT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1"/>
          </reference>
        </references>
      </pivotArea>
    </chartFormat>
    <chartFormat chart="0" format="2">
      <pivotArea type="data" outline="0" fieldPosition="0">
        <references count="2">
          <reference field="4294967294" count="1" selected="0">
            <x v="0"/>
          </reference>
          <reference field="15"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5" count="1" selected="0">
            <x v="0"/>
          </reference>
        </references>
      </pivotArea>
    </chartFormat>
    <chartFormat chart="3" format="8">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D8EA9A-62AC-4AED-BEBF-36EB198E440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0">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3">
        <item x="1"/>
        <item x="0"/>
        <item t="default"/>
      </items>
    </pivotField>
    <pivotField showAll="0">
      <items count="5">
        <item x="3"/>
        <item x="2"/>
        <item x="1"/>
        <item x="0"/>
        <item t="default"/>
      </items>
    </pivotField>
    <pivotField showAll="0">
      <items count="5">
        <item x="1"/>
        <item x="0"/>
        <item x="3"/>
        <item x="2"/>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2"/>
        <item x="1"/>
        <item x="3"/>
        <item x="4"/>
        <item t="default"/>
      </items>
    </pivotField>
    <pivotField showAll="0"/>
    <pivotField showAll="0">
      <items count="3">
        <item x="1"/>
        <item x="0"/>
        <item t="default"/>
      </items>
    </pivotField>
  </pivotFields>
  <rowFields count="1">
    <field x="17"/>
  </rowFields>
  <rowItems count="6">
    <i>
      <x/>
    </i>
    <i>
      <x v="1"/>
    </i>
    <i>
      <x v="2"/>
    </i>
    <i>
      <x v="3"/>
    </i>
    <i>
      <x v="4"/>
    </i>
    <i t="grand">
      <x/>
    </i>
  </rowItems>
  <colItems count="1">
    <i/>
  </colItems>
  <dataFields count="1">
    <dataField name="Count of STUD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CDB41D-5125-406A-B8D2-2209E5CF0E0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20">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3">
        <item x="1"/>
        <item x="0"/>
        <item t="default"/>
      </items>
    </pivotField>
    <pivotField showAll="0">
      <items count="5">
        <item x="3"/>
        <item x="2"/>
        <item x="1"/>
        <item x="0"/>
        <item t="default"/>
      </items>
    </pivotField>
    <pivotField showAll="0">
      <items count="5">
        <item x="1"/>
        <item x="0"/>
        <item x="3"/>
        <item x="2"/>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19"/>
  </rowFields>
  <rowItems count="3">
    <i>
      <x/>
    </i>
    <i>
      <x v="1"/>
    </i>
    <i t="grand">
      <x/>
    </i>
  </rowItems>
  <colItems count="1">
    <i/>
  </colItems>
  <dataFields count="1">
    <dataField name="Count of STUD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A92973-F73A-4297-BF28-E46A0A2BE2EA}"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2">
    <pivotField axis="axisRow" showAll="0">
      <items count="6">
        <item x="3"/>
        <item x="1"/>
        <item x="4"/>
        <item x="0"/>
        <item x="2"/>
        <item t="default"/>
      </items>
    </pivotField>
    <pivotField dataField="1" showAll="0">
      <items count="6">
        <item x="0"/>
        <item x="1"/>
        <item x="2"/>
        <item x="4"/>
        <item x="3"/>
        <item t="default"/>
      </items>
    </pivotField>
  </pivotFields>
  <rowFields count="1">
    <field x="0"/>
  </rowFields>
  <rowItems count="6">
    <i>
      <x/>
    </i>
    <i>
      <x v="1"/>
    </i>
    <i>
      <x v="2"/>
    </i>
    <i>
      <x v="3"/>
    </i>
    <i>
      <x v="4"/>
    </i>
    <i t="grand">
      <x/>
    </i>
  </rowItems>
  <colItems count="1">
    <i/>
  </colItems>
  <dataFields count="1">
    <dataField name="Sum of AVERAGE"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A6F2E1-0E0D-46E8-8782-02CA0D2A6897}" name="PivotTable13"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C6" firstHeaderRow="1" firstDataRow="2" firstDataCol="1"/>
  <pivotFields count="27">
    <pivotField dataField="1" showAll="0">
      <items count="3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0"/>
        <item h="1" x="2"/>
        <item t="default"/>
      </items>
    </pivotField>
    <pivotField showAll="0"/>
    <pivotField showAll="0"/>
    <pivotField showAll="0"/>
    <pivotField showAll="0"/>
    <pivotField showAll="0"/>
    <pivotField showAll="0"/>
  </pivotFields>
  <rowFields count="1">
    <field x="1"/>
  </rowFields>
  <rowItems count="2">
    <i>
      <x/>
    </i>
    <i>
      <x v="1"/>
    </i>
  </rowItems>
  <colFields count="1">
    <field x="20"/>
  </colFields>
  <colItems count="2">
    <i>
      <x/>
    </i>
    <i>
      <x v="1"/>
    </i>
  </colItems>
  <dataFields count="1">
    <dataField name="Count of STUDENT ID" fld="0" subtotal="count" baseField="0" baseItem="0"/>
  </dataFields>
  <chartFormats count="12">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pivotArea type="data" outline="0" fieldPosition="0">
        <references count="3">
          <reference field="4294967294" count="1" selected="0">
            <x v="0"/>
          </reference>
          <reference field="1" count="1" selected="0">
            <x v="1"/>
          </reference>
          <reference field="20" count="1" selected="0">
            <x v="1"/>
          </reference>
        </references>
      </pivotArea>
    </chartFormat>
    <chartFormat chart="0" format="3">
      <pivotArea type="data" outline="0" fieldPosition="0">
        <references count="3">
          <reference field="4294967294" count="1" selected="0">
            <x v="0"/>
          </reference>
          <reference field="1" count="1" selected="0">
            <x v="1"/>
          </reference>
          <reference field="20" count="1" selected="0">
            <x v="0"/>
          </reference>
        </references>
      </pivotArea>
    </chartFormat>
    <chartFormat chart="0" format="4">
      <pivotArea type="data" outline="0" fieldPosition="0">
        <references count="3">
          <reference field="4294967294" count="1" selected="0">
            <x v="0"/>
          </reference>
          <reference field="1" count="1" selected="0">
            <x v="0"/>
          </reference>
          <reference field="20" count="1" selected="0">
            <x v="1"/>
          </reference>
        </references>
      </pivotArea>
    </chartFormat>
    <chartFormat chart="0" format="5">
      <pivotArea type="data" outline="0" fieldPosition="0">
        <references count="3">
          <reference field="4294967294" count="1" selected="0">
            <x v="0"/>
          </reference>
          <reference field="1" count="1" selected="0">
            <x v="0"/>
          </reference>
          <reference field="20" count="1" selected="0">
            <x v="0"/>
          </reference>
        </references>
      </pivotArea>
    </chartFormat>
    <chartFormat chart="3" format="12" series="1">
      <pivotArea type="data" outline="0" fieldPosition="0">
        <references count="2">
          <reference field="4294967294" count="1" selected="0">
            <x v="0"/>
          </reference>
          <reference field="20" count="1" selected="0">
            <x v="0"/>
          </reference>
        </references>
      </pivotArea>
    </chartFormat>
    <chartFormat chart="3" format="13">
      <pivotArea type="data" outline="0" fieldPosition="0">
        <references count="3">
          <reference field="4294967294" count="1" selected="0">
            <x v="0"/>
          </reference>
          <reference field="1" count="1" selected="0">
            <x v="0"/>
          </reference>
          <reference field="20" count="1" selected="0">
            <x v="0"/>
          </reference>
        </references>
      </pivotArea>
    </chartFormat>
    <chartFormat chart="3" format="14">
      <pivotArea type="data" outline="0" fieldPosition="0">
        <references count="3">
          <reference field="4294967294" count="1" selected="0">
            <x v="0"/>
          </reference>
          <reference field="1" count="1" selected="0">
            <x v="1"/>
          </reference>
          <reference field="20" count="1" selected="0">
            <x v="0"/>
          </reference>
        </references>
      </pivotArea>
    </chartFormat>
    <chartFormat chart="3" format="15" series="1">
      <pivotArea type="data" outline="0" fieldPosition="0">
        <references count="2">
          <reference field="4294967294" count="1" selected="0">
            <x v="0"/>
          </reference>
          <reference field="20" count="1" selected="0">
            <x v="1"/>
          </reference>
        </references>
      </pivotArea>
    </chartFormat>
    <chartFormat chart="3" format="16">
      <pivotArea type="data" outline="0" fieldPosition="0">
        <references count="3">
          <reference field="4294967294" count="1" selected="0">
            <x v="0"/>
          </reference>
          <reference field="1" count="1" selected="0">
            <x v="0"/>
          </reference>
          <reference field="20" count="1" selected="0">
            <x v="1"/>
          </reference>
        </references>
      </pivotArea>
    </chartFormat>
    <chartFormat chart="3" format="17">
      <pivotArea type="data" outline="0" fieldPosition="0">
        <references count="3">
          <reference field="4294967294" count="1" selected="0">
            <x v="0"/>
          </reference>
          <reference field="1" count="1" selected="0">
            <x v="1"/>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A107B97-9418-4211-B6BB-9AB52917B085}" sourceName="GENDER">
  <pivotTables>
    <pivotTable tabId="6" name="PivotTable4"/>
    <pivotTable tabId="7" name="PivotTable5"/>
    <pivotTable tabId="8" name="PivotTable6"/>
  </pivotTables>
  <data>
    <tabular pivotCacheId="44830238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C309C3C6-0450-4463-9DD3-82E175054261}" sourceName="AGE">
  <pivotTables>
    <pivotTable tabId="6" name="PivotTable4"/>
    <pivotTable tabId="7" name="PivotTable5"/>
    <pivotTable tabId="8" name="PivotTable6"/>
  </pivotTables>
  <data>
    <tabular pivotCacheId="448302388">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F8670433-BA9B-4502-9D9D-F92449BAB38C}" sourceName="COURSE">
  <pivotTables>
    <pivotTable tabId="6" name="PivotTable4"/>
    <pivotTable tabId="7" name="PivotTable5"/>
    <pivotTable tabId="8" name="PivotTable6"/>
  </pivotTables>
  <data>
    <tabular pivotCacheId="448302388">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MESTER" xr10:uid="{DE9723C9-400D-4A51-9127-CBE17A01B92B}" sourceName="SEMESTER">
  <pivotTables>
    <pivotTable tabId="6" name="PivotTable4"/>
    <pivotTable tabId="7" name="PivotTable5"/>
    <pivotTable tabId="8" name="PivotTable6"/>
  </pivotTables>
  <data>
    <tabular pivotCacheId="448302388">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 xr10:uid="{4150F534-CC6A-4D9B-98E3-F5AB2097D1AA}" sourceName="PERFORMANCE">
  <pivotTables>
    <pivotTable tabId="3" name="PivotTable2"/>
    <pivotTable tabId="5" name="PivotTable3"/>
  </pivotTables>
  <data>
    <tabular pivotCacheId="1807520591">
      <items count="5">
        <i x="1" s="1"/>
        <i x="2" s="1"/>
        <i x="0" s="1"/>
        <i x="3" s="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147DA35-2CF9-4E04-B245-5E8435D7AFCD}" cache="Slicer_GENDER" caption="GENDER" rowHeight="234950"/>
  <slicer name="AGE" xr10:uid="{77AC19E4-29DD-4EF3-A7C7-248B3049E3E0}" cache="Slicer_AGE" caption="AGE" columnCount="2" rowHeight="180000"/>
  <slicer name="COURSE" xr10:uid="{A1793811-D0C6-4C65-8068-59EB172B98CB}" cache="Slicer_COURSE" caption="COURSE" columnCount="2" rowHeight="180000"/>
  <slicer name="SEMESTER" xr10:uid="{999C750A-FE52-45CC-BC17-FA4463BE542C}" cache="Slicer_SEMESTER" caption="SEMESTER" rowHeight="216000"/>
  <slicer name="PERFORMANCE" xr10:uid="{60FC1C8F-CFA2-4789-A347-400C8F027F87}" cache="Slicer_PERFORMANCE" caption="PERFORMANCE"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BC78-7BAA-4C24-8B9B-55B37FCE6E64}">
  <dimension ref="A1:AF301"/>
  <sheetViews>
    <sheetView topLeftCell="Y1" zoomScale="101" workbookViewId="0">
      <selection activeCell="E1" sqref="E1"/>
    </sheetView>
  </sheetViews>
  <sheetFormatPr defaultRowHeight="14.4" x14ac:dyDescent="0.3"/>
  <cols>
    <col min="1" max="1" width="13.21875" customWidth="1"/>
    <col min="2" max="2" width="10.109375" customWidth="1"/>
    <col min="3" max="3" width="6.44140625" customWidth="1"/>
    <col min="4" max="4" width="9.88671875" customWidth="1"/>
    <col min="5" max="5" width="11.88671875" customWidth="1"/>
    <col min="6" max="6" width="16.44140625" customWidth="1"/>
    <col min="7" max="7" width="15.33203125" customWidth="1"/>
    <col min="8" max="8" width="20.88671875" customWidth="1"/>
    <col min="9" max="9" width="18.5546875" customWidth="1"/>
    <col min="10" max="14" width="7.88671875" customWidth="1"/>
    <col min="15" max="15" width="12.77734375" customWidth="1"/>
    <col min="16" max="16" width="10.33203125" customWidth="1"/>
    <col min="17" max="17" width="9" customWidth="1"/>
    <col min="18" max="18" width="12.21875" customWidth="1"/>
    <col min="19" max="20" width="16.5546875" customWidth="1"/>
    <col min="21" max="21" width="20.5546875" customWidth="1"/>
    <col min="23" max="23" width="18.21875" bestFit="1" customWidth="1"/>
    <col min="24" max="24" width="10.33203125" bestFit="1" customWidth="1"/>
    <col min="27" max="27" width="20.88671875" bestFit="1" customWidth="1"/>
    <col min="31" max="31" width="17" bestFit="1" customWidth="1"/>
  </cols>
  <sheetData>
    <row r="1" spans="1:32" x14ac:dyDescent="0.3">
      <c r="A1" s="9" t="s">
        <v>0</v>
      </c>
      <c r="B1" s="10" t="s">
        <v>1</v>
      </c>
      <c r="C1" s="10" t="s">
        <v>2</v>
      </c>
      <c r="D1" s="10" t="s">
        <v>3</v>
      </c>
      <c r="E1" s="10" t="s">
        <v>4</v>
      </c>
      <c r="F1" s="10" t="s">
        <v>5</v>
      </c>
      <c r="G1" s="10" t="s">
        <v>6</v>
      </c>
      <c r="H1" s="10" t="s">
        <v>7</v>
      </c>
      <c r="I1" s="10" t="s">
        <v>8</v>
      </c>
      <c r="J1" s="10" t="s">
        <v>36</v>
      </c>
      <c r="K1" s="10" t="s">
        <v>35</v>
      </c>
      <c r="L1" s="10" t="s">
        <v>37</v>
      </c>
      <c r="M1" s="10" t="s">
        <v>38</v>
      </c>
      <c r="N1" s="10" t="s">
        <v>39</v>
      </c>
      <c r="O1" s="10" t="s">
        <v>9</v>
      </c>
      <c r="P1" s="10" t="s">
        <v>20</v>
      </c>
      <c r="Q1" s="10" t="s">
        <v>10</v>
      </c>
      <c r="R1" s="10" t="s">
        <v>11</v>
      </c>
      <c r="S1" s="10" t="s">
        <v>23</v>
      </c>
      <c r="T1" s="10" t="s">
        <v>19</v>
      </c>
      <c r="U1" s="11" t="s">
        <v>12</v>
      </c>
      <c r="W1" t="s">
        <v>34</v>
      </c>
      <c r="X1" t="s">
        <v>24</v>
      </c>
      <c r="AA1" t="s">
        <v>41</v>
      </c>
      <c r="AE1" t="s">
        <v>43</v>
      </c>
      <c r="AF1" t="s">
        <v>47</v>
      </c>
    </row>
    <row r="2" spans="1:32" x14ac:dyDescent="0.3">
      <c r="A2" s="12" t="str">
        <f>"ST"&amp;TEXT(ROW()-1,"000")</f>
        <v>ST001</v>
      </c>
      <c r="B2" s="13" t="s">
        <v>13</v>
      </c>
      <c r="C2" s="13">
        <v>24</v>
      </c>
      <c r="D2" s="13" t="s">
        <v>16</v>
      </c>
      <c r="E2" s="13">
        <v>8</v>
      </c>
      <c r="F2" s="13">
        <f ca="1">IF(H2&gt;70,RANDBETWEEN(75,95),IF(H2&gt;50,RANDBETWEEN(40,75),RANDBETWEEN(20,40)))</f>
        <v>79</v>
      </c>
      <c r="G2" s="13">
        <v>2.2999999999999998</v>
      </c>
      <c r="H2" s="13">
        <v>74</v>
      </c>
      <c r="I2" s="13">
        <v>21</v>
      </c>
      <c r="J2" s="13">
        <v>77</v>
      </c>
      <c r="K2" s="13">
        <v>67</v>
      </c>
      <c r="L2" s="13">
        <v>42</v>
      </c>
      <c r="M2" s="13">
        <v>73</v>
      </c>
      <c r="N2" s="13">
        <v>92</v>
      </c>
      <c r="O2" s="13">
        <f>SUM(J2:N2)/500*100</f>
        <v>70.199999999999989</v>
      </c>
      <c r="P2" s="13" t="str">
        <f>IF(AND(J2&gt;=40,K2&gt;=40,L2&gt;=40,M2&gt;=40,N2&gt;=40),"Pass","Fail")</f>
        <v>Pass</v>
      </c>
      <c r="Q2" s="13" t="str">
        <f>IF(O2&gt;90,"O",IF(O2&gt;80,"A+",IF(O2&gt;70,"A",IF(O2&gt;50,"B","C"))))</f>
        <v>A</v>
      </c>
      <c r="R2" s="13">
        <f>COUNTIF(J2:N2,"&lt;40")</f>
        <v>0</v>
      </c>
      <c r="S2" s="13" t="str">
        <f>IF(O2&gt;=80,"EXCELLENT",IF(O2&gt;=60,"GOOD",IF(O2&gt;=40,"AVERAGE",IF(O2&lt;40,"POOR"))))</f>
        <v>GOOD</v>
      </c>
      <c r="T2" s="13"/>
      <c r="U2" s="14" t="str">
        <f>IF(R2=0,"YES", "NO")</f>
        <v>YES</v>
      </c>
      <c r="W2" t="s">
        <v>36</v>
      </c>
      <c r="X2">
        <f>AVERAGE('ROW DATA'!$J$2:$J$301)</f>
        <v>49.39</v>
      </c>
      <c r="AA2" s="8">
        <f ca="1">AVERAGEIF(B:B,"MALE",F:F)</f>
        <v>72.101265822784811</v>
      </c>
      <c r="AE2" t="s">
        <v>44</v>
      </c>
      <c r="AF2">
        <f>COUNTA(A2:A301)</f>
        <v>300</v>
      </c>
    </row>
    <row r="3" spans="1:32" x14ac:dyDescent="0.3">
      <c r="A3" s="15" t="str">
        <f t="shared" ref="A3:A66" si="0">"ST"&amp;TEXT(ROW()-1,"000")</f>
        <v>ST002</v>
      </c>
      <c r="B3" s="16" t="s">
        <v>15</v>
      </c>
      <c r="C3" s="16">
        <v>23</v>
      </c>
      <c r="D3" s="16" t="s">
        <v>14</v>
      </c>
      <c r="E3" s="16">
        <v>8</v>
      </c>
      <c r="F3" s="16">
        <f t="shared" ref="F3:F66" ca="1" si="1">IF(H3&gt;70,RANDBETWEEN(75,95),IF(H3&gt;50,RANDBETWEEN(40,75),RANDBETWEEN(20,40)))</f>
        <v>52</v>
      </c>
      <c r="G3" s="16">
        <v>1.7</v>
      </c>
      <c r="H3" s="16">
        <v>62</v>
      </c>
      <c r="I3" s="16">
        <v>20</v>
      </c>
      <c r="J3" s="16">
        <v>15</v>
      </c>
      <c r="K3" s="16">
        <v>38</v>
      </c>
      <c r="L3" s="16">
        <v>63</v>
      </c>
      <c r="M3" s="16">
        <v>100</v>
      </c>
      <c r="N3" s="16">
        <v>78</v>
      </c>
      <c r="O3" s="16">
        <f t="shared" ref="O3:O66" si="2">SUM(J3:N3)/500*100</f>
        <v>58.8</v>
      </c>
      <c r="P3" s="16" t="str">
        <f t="shared" ref="P3:P66" si="3">IF(AND(J3&gt;=40,K3&gt;=40,L3&gt;=40,M3&gt;=40,N3&gt;=40),"Pass","Fail")</f>
        <v>Fail</v>
      </c>
      <c r="Q3" s="16" t="str">
        <f t="shared" ref="Q3:Q66" si="4">IF(O3&gt;90,"O",IF(O3&gt;80,"A",IF(O3&gt;60,"B",IF(O3&gt;50,"C","D"))))</f>
        <v>C</v>
      </c>
      <c r="R3" s="16">
        <f t="shared" ref="R3:R66" si="5">COUNTIF(J3:N3,"&lt;40")</f>
        <v>2</v>
      </c>
      <c r="S3" s="16" t="str">
        <f t="shared" ref="S3:S66" si="6">IF(O3&gt;=80,"EXCELLENT",IF(O3&gt;=60,"GOOD",IF(O3&gt;=40,"AVERAGE",IF(O3&lt;40,"POOR"))))</f>
        <v>AVERAGE</v>
      </c>
      <c r="T3" s="16"/>
      <c r="U3" s="17" t="str">
        <f t="shared" ref="U3:U66" si="7">IF(R3=0,"YES", "NO")</f>
        <v>NO</v>
      </c>
      <c r="W3" t="s">
        <v>35</v>
      </c>
      <c r="X3" s="8">
        <f>AVERAGE('ROW DATA'!$K$2:$K$301)</f>
        <v>54.176666666666669</v>
      </c>
      <c r="AA3" s="8">
        <f ca="1">AVERAGEIF(B:B,"FEMALE",F:F)</f>
        <v>73.309859154929583</v>
      </c>
      <c r="AE3" t="s">
        <v>45</v>
      </c>
      <c r="AF3">
        <f>COUNTIF(U:U,"YES")</f>
        <v>79</v>
      </c>
    </row>
    <row r="4" spans="1:32" x14ac:dyDescent="0.3">
      <c r="A4" s="12" t="str">
        <f t="shared" si="0"/>
        <v>ST003</v>
      </c>
      <c r="B4" s="13" t="s">
        <v>13</v>
      </c>
      <c r="C4" s="13">
        <v>22</v>
      </c>
      <c r="D4" s="13" t="s">
        <v>17</v>
      </c>
      <c r="E4" s="13">
        <v>8</v>
      </c>
      <c r="F4" s="13">
        <f t="shared" ca="1" si="1"/>
        <v>91</v>
      </c>
      <c r="G4" s="13">
        <v>6</v>
      </c>
      <c r="H4" s="13">
        <v>82</v>
      </c>
      <c r="I4" s="13">
        <v>29</v>
      </c>
      <c r="J4" s="13">
        <v>51</v>
      </c>
      <c r="K4" s="13">
        <v>42</v>
      </c>
      <c r="L4" s="13">
        <v>74</v>
      </c>
      <c r="M4" s="13">
        <v>83</v>
      </c>
      <c r="N4" s="13">
        <v>52</v>
      </c>
      <c r="O4" s="13">
        <f t="shared" si="2"/>
        <v>60.4</v>
      </c>
      <c r="P4" s="13" t="str">
        <f t="shared" si="3"/>
        <v>Pass</v>
      </c>
      <c r="Q4" s="13" t="str">
        <f t="shared" si="4"/>
        <v>B</v>
      </c>
      <c r="R4" s="13">
        <f t="shared" si="5"/>
        <v>0</v>
      </c>
      <c r="S4" s="13" t="str">
        <f t="shared" si="6"/>
        <v>GOOD</v>
      </c>
      <c r="T4" s="13"/>
      <c r="U4" s="14" t="str">
        <f t="shared" si="7"/>
        <v>YES</v>
      </c>
      <c r="W4" t="s">
        <v>37</v>
      </c>
      <c r="X4" s="8">
        <f>AVERAGE(L:L)</f>
        <v>59.413333333333334</v>
      </c>
      <c r="AE4" t="s">
        <v>48</v>
      </c>
      <c r="AF4">
        <f>COUNTIF(P:P,"PASS")</f>
        <v>79</v>
      </c>
    </row>
    <row r="5" spans="1:32" x14ac:dyDescent="0.3">
      <c r="A5" s="15" t="str">
        <f t="shared" si="0"/>
        <v>ST004</v>
      </c>
      <c r="B5" s="16" t="s">
        <v>15</v>
      </c>
      <c r="C5" s="16">
        <v>22</v>
      </c>
      <c r="D5" s="16" t="s">
        <v>17</v>
      </c>
      <c r="E5" s="16">
        <v>8</v>
      </c>
      <c r="F5" s="16">
        <f t="shared" ca="1" si="1"/>
        <v>92</v>
      </c>
      <c r="G5" s="16">
        <v>1.1000000000000001</v>
      </c>
      <c r="H5" s="16">
        <v>94</v>
      </c>
      <c r="I5" s="16">
        <v>29</v>
      </c>
      <c r="J5" s="16">
        <v>20</v>
      </c>
      <c r="K5" s="16">
        <v>42</v>
      </c>
      <c r="L5" s="16">
        <v>68</v>
      </c>
      <c r="M5" s="16">
        <v>72</v>
      </c>
      <c r="N5" s="16">
        <v>68</v>
      </c>
      <c r="O5" s="16">
        <f t="shared" si="2"/>
        <v>54</v>
      </c>
      <c r="P5" s="16" t="str">
        <f t="shared" si="3"/>
        <v>Fail</v>
      </c>
      <c r="Q5" s="16" t="str">
        <f t="shared" si="4"/>
        <v>C</v>
      </c>
      <c r="R5" s="16">
        <f t="shared" si="5"/>
        <v>1</v>
      </c>
      <c r="S5" s="16" t="str">
        <f t="shared" si="6"/>
        <v>AVERAGE</v>
      </c>
      <c r="T5" s="16"/>
      <c r="U5" s="17" t="str">
        <f t="shared" si="7"/>
        <v>NO</v>
      </c>
      <c r="W5" t="s">
        <v>38</v>
      </c>
      <c r="X5" s="8">
        <f>AVERAGE(M:M)</f>
        <v>76.266666666666666</v>
      </c>
      <c r="AE5" t="s">
        <v>46</v>
      </c>
      <c r="AF5">
        <f>AVERAGE(O2:O301)</f>
        <v>61.182000000000016</v>
      </c>
    </row>
    <row r="6" spans="1:32" x14ac:dyDescent="0.3">
      <c r="A6" s="12" t="str">
        <f t="shared" si="0"/>
        <v>ST005</v>
      </c>
      <c r="B6" s="13" t="s">
        <v>13</v>
      </c>
      <c r="C6" s="13">
        <v>22</v>
      </c>
      <c r="D6" s="13" t="s">
        <v>14</v>
      </c>
      <c r="E6" s="13">
        <v>8</v>
      </c>
      <c r="F6" s="13">
        <f t="shared" ca="1" si="1"/>
        <v>74</v>
      </c>
      <c r="G6" s="13">
        <v>4.3</v>
      </c>
      <c r="H6" s="13">
        <v>69</v>
      </c>
      <c r="I6" s="13">
        <v>20</v>
      </c>
      <c r="J6" s="13">
        <v>89</v>
      </c>
      <c r="K6" s="13">
        <v>87</v>
      </c>
      <c r="L6" s="13">
        <v>91</v>
      </c>
      <c r="M6" s="13">
        <v>78</v>
      </c>
      <c r="N6" s="13">
        <v>52</v>
      </c>
      <c r="O6" s="13">
        <f t="shared" si="2"/>
        <v>79.400000000000006</v>
      </c>
      <c r="P6" s="13" t="str">
        <f t="shared" si="3"/>
        <v>Pass</v>
      </c>
      <c r="Q6" s="13" t="str">
        <f t="shared" si="4"/>
        <v>B</v>
      </c>
      <c r="R6" s="13">
        <f t="shared" si="5"/>
        <v>0</v>
      </c>
      <c r="S6" s="13" t="str">
        <f t="shared" si="6"/>
        <v>GOOD</v>
      </c>
      <c r="T6" s="13"/>
      <c r="U6" s="14" t="str">
        <f t="shared" si="7"/>
        <v>YES</v>
      </c>
      <c r="W6" t="s">
        <v>39</v>
      </c>
      <c r="X6" s="8">
        <f>AVERAGE(N:N)</f>
        <v>66.663333333333327</v>
      </c>
      <c r="AE6" t="s">
        <v>49</v>
      </c>
      <c r="AF6">
        <f>AF2-AF4</f>
        <v>221</v>
      </c>
    </row>
    <row r="7" spans="1:32" x14ac:dyDescent="0.3">
      <c r="A7" s="15" t="str">
        <f t="shared" si="0"/>
        <v>ST006</v>
      </c>
      <c r="B7" s="16" t="s">
        <v>13</v>
      </c>
      <c r="C7" s="16">
        <v>21</v>
      </c>
      <c r="D7" s="16" t="s">
        <v>17</v>
      </c>
      <c r="E7" s="16">
        <v>8</v>
      </c>
      <c r="F7" s="16">
        <f t="shared" ca="1" si="1"/>
        <v>89</v>
      </c>
      <c r="G7" s="16">
        <v>5.4</v>
      </c>
      <c r="H7" s="16">
        <v>75</v>
      </c>
      <c r="I7" s="16">
        <v>29</v>
      </c>
      <c r="J7" s="16">
        <v>64</v>
      </c>
      <c r="K7" s="16">
        <v>15</v>
      </c>
      <c r="L7" s="16">
        <v>58</v>
      </c>
      <c r="M7" s="16">
        <v>96</v>
      </c>
      <c r="N7" s="16">
        <v>77</v>
      </c>
      <c r="O7" s="16">
        <f t="shared" si="2"/>
        <v>62</v>
      </c>
      <c r="P7" s="16" t="str">
        <f t="shared" si="3"/>
        <v>Fail</v>
      </c>
      <c r="Q7" s="16" t="str">
        <f t="shared" si="4"/>
        <v>B</v>
      </c>
      <c r="R7" s="16">
        <f t="shared" si="5"/>
        <v>1</v>
      </c>
      <c r="S7" s="16" t="str">
        <f t="shared" si="6"/>
        <v>GOOD</v>
      </c>
      <c r="T7" s="16"/>
      <c r="U7" s="17" t="str">
        <f t="shared" si="7"/>
        <v>NO</v>
      </c>
    </row>
    <row r="8" spans="1:32" x14ac:dyDescent="0.3">
      <c r="A8" s="12" t="str">
        <f t="shared" si="0"/>
        <v>ST007</v>
      </c>
      <c r="B8" s="13" t="s">
        <v>13</v>
      </c>
      <c r="C8" s="13">
        <v>23</v>
      </c>
      <c r="D8" s="13" t="s">
        <v>14</v>
      </c>
      <c r="E8" s="13">
        <v>8</v>
      </c>
      <c r="F8" s="13">
        <f t="shared" ca="1" si="1"/>
        <v>87</v>
      </c>
      <c r="G8" s="13">
        <v>1.4</v>
      </c>
      <c r="H8" s="13">
        <v>94</v>
      </c>
      <c r="I8" s="13">
        <v>33</v>
      </c>
      <c r="J8" s="13">
        <v>41</v>
      </c>
      <c r="K8" s="13">
        <v>26</v>
      </c>
      <c r="L8" s="13">
        <v>38</v>
      </c>
      <c r="M8" s="13">
        <v>82</v>
      </c>
      <c r="N8" s="13">
        <v>63</v>
      </c>
      <c r="O8" s="13">
        <f t="shared" si="2"/>
        <v>50</v>
      </c>
      <c r="P8" s="13" t="str">
        <f t="shared" si="3"/>
        <v>Fail</v>
      </c>
      <c r="Q8" s="13" t="str">
        <f t="shared" si="4"/>
        <v>D</v>
      </c>
      <c r="R8" s="13">
        <f t="shared" si="5"/>
        <v>2</v>
      </c>
      <c r="S8" s="13" t="str">
        <f t="shared" si="6"/>
        <v>AVERAGE</v>
      </c>
      <c r="T8" s="13"/>
      <c r="U8" s="14" t="str">
        <f t="shared" si="7"/>
        <v>NO</v>
      </c>
    </row>
    <row r="9" spans="1:32" x14ac:dyDescent="0.3">
      <c r="A9" s="15" t="str">
        <f t="shared" si="0"/>
        <v>ST008</v>
      </c>
      <c r="B9" s="16" t="s">
        <v>13</v>
      </c>
      <c r="C9" s="16">
        <v>24</v>
      </c>
      <c r="D9" s="16" t="s">
        <v>17</v>
      </c>
      <c r="E9" s="16">
        <v>7</v>
      </c>
      <c r="F9" s="16">
        <f t="shared" ca="1" si="1"/>
        <v>88</v>
      </c>
      <c r="G9" s="16">
        <v>1.4</v>
      </c>
      <c r="H9" s="16">
        <v>94</v>
      </c>
      <c r="I9" s="16">
        <v>49</v>
      </c>
      <c r="J9" s="16">
        <v>66</v>
      </c>
      <c r="K9" s="16">
        <v>44</v>
      </c>
      <c r="L9" s="16">
        <v>55</v>
      </c>
      <c r="M9" s="16">
        <v>70</v>
      </c>
      <c r="N9" s="16">
        <v>59</v>
      </c>
      <c r="O9" s="16">
        <f t="shared" si="2"/>
        <v>58.8</v>
      </c>
      <c r="P9" s="16" t="str">
        <f t="shared" si="3"/>
        <v>Pass</v>
      </c>
      <c r="Q9" s="16" t="str">
        <f t="shared" si="4"/>
        <v>C</v>
      </c>
      <c r="R9" s="16">
        <f t="shared" si="5"/>
        <v>0</v>
      </c>
      <c r="S9" s="16" t="str">
        <f t="shared" si="6"/>
        <v>AVERAGE</v>
      </c>
      <c r="T9" s="16"/>
      <c r="U9" s="17" t="str">
        <f t="shared" si="7"/>
        <v>YES</v>
      </c>
    </row>
    <row r="10" spans="1:32" x14ac:dyDescent="0.3">
      <c r="A10" s="12" t="str">
        <f t="shared" si="0"/>
        <v>ST009</v>
      </c>
      <c r="B10" s="13" t="s">
        <v>13</v>
      </c>
      <c r="C10" s="13">
        <v>23</v>
      </c>
      <c r="D10" s="13" t="s">
        <v>18</v>
      </c>
      <c r="E10" s="13">
        <v>7</v>
      </c>
      <c r="F10" s="13">
        <f t="shared" ca="1" si="1"/>
        <v>92</v>
      </c>
      <c r="G10" s="13">
        <v>1.6</v>
      </c>
      <c r="H10" s="13">
        <v>76</v>
      </c>
      <c r="I10" s="13">
        <v>43</v>
      </c>
      <c r="J10" s="13">
        <v>90</v>
      </c>
      <c r="K10" s="13">
        <v>14</v>
      </c>
      <c r="L10" s="13">
        <v>37</v>
      </c>
      <c r="M10" s="13">
        <v>90</v>
      </c>
      <c r="N10" s="13">
        <v>45</v>
      </c>
      <c r="O10" s="13">
        <f t="shared" si="2"/>
        <v>55.2</v>
      </c>
      <c r="P10" s="13" t="str">
        <f t="shared" si="3"/>
        <v>Fail</v>
      </c>
      <c r="Q10" s="13" t="str">
        <f t="shared" si="4"/>
        <v>C</v>
      </c>
      <c r="R10" s="13">
        <f t="shared" si="5"/>
        <v>2</v>
      </c>
      <c r="S10" s="13" t="str">
        <f t="shared" si="6"/>
        <v>AVERAGE</v>
      </c>
      <c r="T10" s="13"/>
      <c r="U10" s="14" t="str">
        <f t="shared" si="7"/>
        <v>NO</v>
      </c>
    </row>
    <row r="11" spans="1:32" x14ac:dyDescent="0.3">
      <c r="A11" s="15" t="str">
        <f t="shared" si="0"/>
        <v>ST010</v>
      </c>
      <c r="B11" s="16" t="s">
        <v>13</v>
      </c>
      <c r="C11" s="16">
        <v>22</v>
      </c>
      <c r="D11" s="16" t="s">
        <v>18</v>
      </c>
      <c r="E11" s="16">
        <v>8</v>
      </c>
      <c r="F11" s="16">
        <f t="shared" ca="1" si="1"/>
        <v>74</v>
      </c>
      <c r="G11" s="16">
        <v>3.9</v>
      </c>
      <c r="H11" s="16">
        <v>69</v>
      </c>
      <c r="I11" s="16">
        <v>22</v>
      </c>
      <c r="J11" s="16">
        <v>77</v>
      </c>
      <c r="K11" s="16">
        <v>81</v>
      </c>
      <c r="L11" s="16">
        <v>64</v>
      </c>
      <c r="M11" s="16">
        <v>71</v>
      </c>
      <c r="N11" s="16">
        <v>80</v>
      </c>
      <c r="O11" s="16">
        <f t="shared" si="2"/>
        <v>74.599999999999994</v>
      </c>
      <c r="P11" s="16" t="str">
        <f t="shared" si="3"/>
        <v>Pass</v>
      </c>
      <c r="Q11" s="16" t="str">
        <f t="shared" si="4"/>
        <v>B</v>
      </c>
      <c r="R11" s="16">
        <f t="shared" si="5"/>
        <v>0</v>
      </c>
      <c r="S11" s="16" t="str">
        <f t="shared" si="6"/>
        <v>GOOD</v>
      </c>
      <c r="T11" s="16"/>
      <c r="U11" s="17" t="str">
        <f t="shared" si="7"/>
        <v>YES</v>
      </c>
    </row>
    <row r="12" spans="1:32" x14ac:dyDescent="0.3">
      <c r="A12" s="12" t="str">
        <f t="shared" si="0"/>
        <v>ST011</v>
      </c>
      <c r="B12" s="13" t="s">
        <v>13</v>
      </c>
      <c r="C12" s="13">
        <v>21</v>
      </c>
      <c r="D12" s="13" t="s">
        <v>16</v>
      </c>
      <c r="E12" s="13">
        <v>7</v>
      </c>
      <c r="F12" s="13">
        <f t="shared" ca="1" si="1"/>
        <v>61</v>
      </c>
      <c r="G12" s="13">
        <v>4.4000000000000004</v>
      </c>
      <c r="H12" s="13">
        <v>53</v>
      </c>
      <c r="I12" s="13">
        <v>24</v>
      </c>
      <c r="J12" s="13">
        <v>49</v>
      </c>
      <c r="K12" s="13">
        <v>72</v>
      </c>
      <c r="L12" s="13">
        <v>46</v>
      </c>
      <c r="M12" s="13">
        <v>100</v>
      </c>
      <c r="N12" s="13">
        <v>93</v>
      </c>
      <c r="O12" s="13">
        <f t="shared" si="2"/>
        <v>72</v>
      </c>
      <c r="P12" s="13" t="str">
        <f t="shared" si="3"/>
        <v>Pass</v>
      </c>
      <c r="Q12" s="13" t="str">
        <f t="shared" si="4"/>
        <v>B</v>
      </c>
      <c r="R12" s="13">
        <f t="shared" si="5"/>
        <v>0</v>
      </c>
      <c r="S12" s="13" t="str">
        <f t="shared" si="6"/>
        <v>GOOD</v>
      </c>
      <c r="T12" s="13"/>
      <c r="U12" s="14" t="str">
        <f t="shared" si="7"/>
        <v>YES</v>
      </c>
    </row>
    <row r="13" spans="1:32" x14ac:dyDescent="0.3">
      <c r="A13" s="15" t="str">
        <f t="shared" si="0"/>
        <v>ST012</v>
      </c>
      <c r="B13" s="16" t="s">
        <v>15</v>
      </c>
      <c r="C13" s="16">
        <v>23</v>
      </c>
      <c r="D13" s="16" t="s">
        <v>14</v>
      </c>
      <c r="E13" s="16">
        <v>7</v>
      </c>
      <c r="F13" s="16">
        <f t="shared" ca="1" si="1"/>
        <v>63</v>
      </c>
      <c r="G13" s="16">
        <v>1.3</v>
      </c>
      <c r="H13" s="16">
        <v>62</v>
      </c>
      <c r="I13" s="16">
        <v>40</v>
      </c>
      <c r="J13" s="16">
        <v>75</v>
      </c>
      <c r="K13" s="16">
        <v>76</v>
      </c>
      <c r="L13" s="16">
        <v>40</v>
      </c>
      <c r="M13" s="16">
        <v>74</v>
      </c>
      <c r="N13" s="16">
        <v>84</v>
      </c>
      <c r="O13" s="16">
        <f t="shared" si="2"/>
        <v>69.8</v>
      </c>
      <c r="P13" s="16" t="str">
        <f t="shared" si="3"/>
        <v>Pass</v>
      </c>
      <c r="Q13" s="16" t="str">
        <f t="shared" si="4"/>
        <v>B</v>
      </c>
      <c r="R13" s="16">
        <f t="shared" si="5"/>
        <v>0</v>
      </c>
      <c r="S13" s="16" t="str">
        <f t="shared" si="6"/>
        <v>GOOD</v>
      </c>
      <c r="T13" s="16"/>
      <c r="U13" s="17" t="str">
        <f t="shared" si="7"/>
        <v>YES</v>
      </c>
    </row>
    <row r="14" spans="1:32" x14ac:dyDescent="0.3">
      <c r="A14" s="12" t="str">
        <f t="shared" si="0"/>
        <v>ST013</v>
      </c>
      <c r="B14" s="13" t="s">
        <v>13</v>
      </c>
      <c r="C14" s="13">
        <v>22</v>
      </c>
      <c r="D14" s="13" t="s">
        <v>18</v>
      </c>
      <c r="E14" s="13">
        <v>7</v>
      </c>
      <c r="F14" s="13">
        <f t="shared" ca="1" si="1"/>
        <v>91</v>
      </c>
      <c r="G14" s="13">
        <v>2.1</v>
      </c>
      <c r="H14" s="13">
        <v>94</v>
      </c>
      <c r="I14" s="13">
        <v>36</v>
      </c>
      <c r="J14" s="13">
        <v>76</v>
      </c>
      <c r="K14" s="13">
        <v>29</v>
      </c>
      <c r="L14" s="13">
        <v>96</v>
      </c>
      <c r="M14" s="13">
        <v>80</v>
      </c>
      <c r="N14" s="13">
        <v>43</v>
      </c>
      <c r="O14" s="13">
        <f t="shared" si="2"/>
        <v>64.8</v>
      </c>
      <c r="P14" s="13" t="str">
        <f t="shared" si="3"/>
        <v>Fail</v>
      </c>
      <c r="Q14" s="13" t="str">
        <f t="shared" si="4"/>
        <v>B</v>
      </c>
      <c r="R14" s="13">
        <f t="shared" si="5"/>
        <v>1</v>
      </c>
      <c r="S14" s="13" t="str">
        <f t="shared" si="6"/>
        <v>GOOD</v>
      </c>
      <c r="T14" s="13"/>
      <c r="U14" s="14" t="str">
        <f t="shared" si="7"/>
        <v>NO</v>
      </c>
    </row>
    <row r="15" spans="1:32" x14ac:dyDescent="0.3">
      <c r="A15" s="15" t="str">
        <f t="shared" si="0"/>
        <v>ST014</v>
      </c>
      <c r="B15" s="16" t="s">
        <v>13</v>
      </c>
      <c r="C15" s="16">
        <v>24</v>
      </c>
      <c r="D15" s="16" t="s">
        <v>16</v>
      </c>
      <c r="E15" s="16">
        <v>7</v>
      </c>
      <c r="F15" s="16">
        <f t="shared" ca="1" si="1"/>
        <v>84</v>
      </c>
      <c r="G15" s="16">
        <v>5.2</v>
      </c>
      <c r="H15" s="16">
        <v>77</v>
      </c>
      <c r="I15" s="16">
        <v>26</v>
      </c>
      <c r="J15" s="16">
        <v>19</v>
      </c>
      <c r="K15" s="16">
        <v>17</v>
      </c>
      <c r="L15" s="16">
        <v>47</v>
      </c>
      <c r="M15" s="16">
        <v>89</v>
      </c>
      <c r="N15" s="16">
        <v>96</v>
      </c>
      <c r="O15" s="16">
        <f t="shared" si="2"/>
        <v>53.6</v>
      </c>
      <c r="P15" s="16" t="str">
        <f t="shared" si="3"/>
        <v>Fail</v>
      </c>
      <c r="Q15" s="16" t="str">
        <f t="shared" si="4"/>
        <v>C</v>
      </c>
      <c r="R15" s="16">
        <f t="shared" si="5"/>
        <v>2</v>
      </c>
      <c r="S15" s="16" t="str">
        <f t="shared" si="6"/>
        <v>AVERAGE</v>
      </c>
      <c r="T15" s="16"/>
      <c r="U15" s="17" t="str">
        <f t="shared" si="7"/>
        <v>NO</v>
      </c>
    </row>
    <row r="16" spans="1:32" x14ac:dyDescent="0.3">
      <c r="A16" s="12" t="str">
        <f t="shared" si="0"/>
        <v>ST015</v>
      </c>
      <c r="B16" s="13" t="s">
        <v>13</v>
      </c>
      <c r="C16" s="13">
        <v>22</v>
      </c>
      <c r="D16" s="13" t="s">
        <v>16</v>
      </c>
      <c r="E16" s="13">
        <v>7</v>
      </c>
      <c r="F16" s="13">
        <f t="shared" ca="1" si="1"/>
        <v>45</v>
      </c>
      <c r="G16" s="13">
        <v>5</v>
      </c>
      <c r="H16" s="13">
        <v>64</v>
      </c>
      <c r="I16" s="13">
        <v>24</v>
      </c>
      <c r="J16" s="13">
        <v>44</v>
      </c>
      <c r="K16" s="13">
        <v>81</v>
      </c>
      <c r="L16" s="13">
        <v>43</v>
      </c>
      <c r="M16" s="13">
        <v>86</v>
      </c>
      <c r="N16" s="13">
        <v>91</v>
      </c>
      <c r="O16" s="13">
        <f t="shared" si="2"/>
        <v>69</v>
      </c>
      <c r="P16" s="13" t="str">
        <f t="shared" si="3"/>
        <v>Pass</v>
      </c>
      <c r="Q16" s="13" t="str">
        <f t="shared" si="4"/>
        <v>B</v>
      </c>
      <c r="R16" s="13">
        <f t="shared" si="5"/>
        <v>0</v>
      </c>
      <c r="S16" s="13" t="str">
        <f t="shared" si="6"/>
        <v>GOOD</v>
      </c>
      <c r="T16" s="13"/>
      <c r="U16" s="14" t="str">
        <f t="shared" si="7"/>
        <v>YES</v>
      </c>
    </row>
    <row r="17" spans="1:21" x14ac:dyDescent="0.3">
      <c r="A17" s="15" t="str">
        <f t="shared" si="0"/>
        <v>ST016</v>
      </c>
      <c r="B17" s="16" t="s">
        <v>13</v>
      </c>
      <c r="C17" s="16">
        <v>21</v>
      </c>
      <c r="D17" s="16" t="s">
        <v>17</v>
      </c>
      <c r="E17" s="16">
        <v>7</v>
      </c>
      <c r="F17" s="16">
        <f t="shared" ca="1" si="1"/>
        <v>43</v>
      </c>
      <c r="G17" s="16">
        <v>1.5</v>
      </c>
      <c r="H17" s="16">
        <v>56</v>
      </c>
      <c r="I17" s="16">
        <v>23</v>
      </c>
      <c r="J17" s="16">
        <v>17</v>
      </c>
      <c r="K17" s="16">
        <v>33</v>
      </c>
      <c r="L17" s="16">
        <v>75</v>
      </c>
      <c r="M17" s="16">
        <v>67</v>
      </c>
      <c r="N17" s="16">
        <v>38</v>
      </c>
      <c r="O17" s="16">
        <f t="shared" si="2"/>
        <v>46</v>
      </c>
      <c r="P17" s="16" t="str">
        <f t="shared" si="3"/>
        <v>Fail</v>
      </c>
      <c r="Q17" s="16" t="str">
        <f t="shared" si="4"/>
        <v>D</v>
      </c>
      <c r="R17" s="16">
        <f t="shared" si="5"/>
        <v>3</v>
      </c>
      <c r="S17" s="16" t="str">
        <f t="shared" si="6"/>
        <v>AVERAGE</v>
      </c>
      <c r="T17" s="16"/>
      <c r="U17" s="17" t="str">
        <f t="shared" si="7"/>
        <v>NO</v>
      </c>
    </row>
    <row r="18" spans="1:21" x14ac:dyDescent="0.3">
      <c r="A18" s="12" t="str">
        <f t="shared" si="0"/>
        <v>ST017</v>
      </c>
      <c r="B18" s="13" t="s">
        <v>13</v>
      </c>
      <c r="C18" s="13">
        <v>23</v>
      </c>
      <c r="D18" s="13" t="s">
        <v>17</v>
      </c>
      <c r="E18" s="13">
        <v>7</v>
      </c>
      <c r="F18" s="13">
        <f t="shared" ca="1" si="1"/>
        <v>93</v>
      </c>
      <c r="G18" s="13">
        <v>5.7</v>
      </c>
      <c r="H18" s="13">
        <v>74</v>
      </c>
      <c r="I18" s="13">
        <v>19</v>
      </c>
      <c r="J18" s="13">
        <v>40</v>
      </c>
      <c r="K18" s="13">
        <v>91</v>
      </c>
      <c r="L18" s="13">
        <v>39</v>
      </c>
      <c r="M18" s="13">
        <v>74</v>
      </c>
      <c r="N18" s="13">
        <v>94</v>
      </c>
      <c r="O18" s="13">
        <f t="shared" si="2"/>
        <v>67.600000000000009</v>
      </c>
      <c r="P18" s="13" t="str">
        <f t="shared" si="3"/>
        <v>Fail</v>
      </c>
      <c r="Q18" s="13" t="str">
        <f t="shared" si="4"/>
        <v>B</v>
      </c>
      <c r="R18" s="13">
        <f t="shared" si="5"/>
        <v>1</v>
      </c>
      <c r="S18" s="13" t="str">
        <f t="shared" si="6"/>
        <v>GOOD</v>
      </c>
      <c r="T18" s="13"/>
      <c r="U18" s="14" t="str">
        <f t="shared" si="7"/>
        <v>NO</v>
      </c>
    </row>
    <row r="19" spans="1:21" x14ac:dyDescent="0.3">
      <c r="A19" s="15" t="str">
        <f t="shared" si="0"/>
        <v>ST018</v>
      </c>
      <c r="B19" s="16" t="s">
        <v>15</v>
      </c>
      <c r="C19" s="16">
        <v>23</v>
      </c>
      <c r="D19" s="16" t="s">
        <v>17</v>
      </c>
      <c r="E19" s="16">
        <v>8</v>
      </c>
      <c r="F19" s="16">
        <f t="shared" ca="1" si="1"/>
        <v>91</v>
      </c>
      <c r="G19" s="16">
        <v>3.8</v>
      </c>
      <c r="H19" s="16">
        <v>71</v>
      </c>
      <c r="I19" s="16">
        <v>32</v>
      </c>
      <c r="J19" s="16">
        <v>53</v>
      </c>
      <c r="K19" s="16">
        <v>47</v>
      </c>
      <c r="L19" s="16">
        <v>44</v>
      </c>
      <c r="M19" s="16">
        <v>100</v>
      </c>
      <c r="N19" s="16">
        <v>37</v>
      </c>
      <c r="O19" s="16">
        <f t="shared" si="2"/>
        <v>56.2</v>
      </c>
      <c r="P19" s="16" t="str">
        <f t="shared" si="3"/>
        <v>Fail</v>
      </c>
      <c r="Q19" s="16" t="str">
        <f t="shared" si="4"/>
        <v>C</v>
      </c>
      <c r="R19" s="16">
        <f t="shared" si="5"/>
        <v>1</v>
      </c>
      <c r="S19" s="16" t="str">
        <f t="shared" si="6"/>
        <v>AVERAGE</v>
      </c>
      <c r="T19" s="16"/>
      <c r="U19" s="17" t="str">
        <f t="shared" si="7"/>
        <v>NO</v>
      </c>
    </row>
    <row r="20" spans="1:21" x14ac:dyDescent="0.3">
      <c r="A20" s="12" t="str">
        <f t="shared" si="0"/>
        <v>ST019</v>
      </c>
      <c r="B20" s="13" t="s">
        <v>13</v>
      </c>
      <c r="C20" s="13">
        <v>23</v>
      </c>
      <c r="D20" s="13" t="s">
        <v>16</v>
      </c>
      <c r="E20" s="13">
        <v>7</v>
      </c>
      <c r="F20" s="13">
        <f t="shared" ca="1" si="1"/>
        <v>81</v>
      </c>
      <c r="G20" s="13">
        <v>2.1</v>
      </c>
      <c r="H20" s="13">
        <v>95</v>
      </c>
      <c r="I20" s="13">
        <v>18</v>
      </c>
      <c r="J20" s="13">
        <v>35</v>
      </c>
      <c r="K20" s="13">
        <v>28</v>
      </c>
      <c r="L20" s="13">
        <v>49</v>
      </c>
      <c r="M20" s="13">
        <v>88</v>
      </c>
      <c r="N20" s="13">
        <v>86</v>
      </c>
      <c r="O20" s="13">
        <f t="shared" si="2"/>
        <v>57.199999999999996</v>
      </c>
      <c r="P20" s="13" t="str">
        <f t="shared" si="3"/>
        <v>Fail</v>
      </c>
      <c r="Q20" s="13" t="str">
        <f t="shared" si="4"/>
        <v>C</v>
      </c>
      <c r="R20" s="13">
        <f t="shared" si="5"/>
        <v>2</v>
      </c>
      <c r="S20" s="13" t="str">
        <f t="shared" si="6"/>
        <v>AVERAGE</v>
      </c>
      <c r="T20" s="13"/>
      <c r="U20" s="14" t="str">
        <f t="shared" si="7"/>
        <v>NO</v>
      </c>
    </row>
    <row r="21" spans="1:21" x14ac:dyDescent="0.3">
      <c r="A21" s="15" t="str">
        <f t="shared" si="0"/>
        <v>ST020</v>
      </c>
      <c r="B21" s="16" t="s">
        <v>13</v>
      </c>
      <c r="C21" s="16">
        <v>22</v>
      </c>
      <c r="D21" s="16" t="s">
        <v>16</v>
      </c>
      <c r="E21" s="16">
        <v>8</v>
      </c>
      <c r="F21" s="16">
        <f t="shared" ca="1" si="1"/>
        <v>69</v>
      </c>
      <c r="G21" s="16">
        <v>2.2000000000000002</v>
      </c>
      <c r="H21" s="16">
        <v>67</v>
      </c>
      <c r="I21" s="16">
        <v>38</v>
      </c>
      <c r="J21" s="16">
        <v>80</v>
      </c>
      <c r="K21" s="16">
        <v>86</v>
      </c>
      <c r="L21" s="16">
        <v>26</v>
      </c>
      <c r="M21" s="16">
        <v>71</v>
      </c>
      <c r="N21" s="16">
        <v>60</v>
      </c>
      <c r="O21" s="16">
        <f t="shared" si="2"/>
        <v>64.600000000000009</v>
      </c>
      <c r="P21" s="16" t="str">
        <f t="shared" si="3"/>
        <v>Fail</v>
      </c>
      <c r="Q21" s="16" t="str">
        <f t="shared" si="4"/>
        <v>B</v>
      </c>
      <c r="R21" s="16">
        <f t="shared" si="5"/>
        <v>1</v>
      </c>
      <c r="S21" s="16" t="str">
        <f t="shared" si="6"/>
        <v>GOOD</v>
      </c>
      <c r="T21" s="16"/>
      <c r="U21" s="17" t="str">
        <f t="shared" si="7"/>
        <v>NO</v>
      </c>
    </row>
    <row r="22" spans="1:21" x14ac:dyDescent="0.3">
      <c r="A22" s="12" t="str">
        <f t="shared" si="0"/>
        <v>ST021</v>
      </c>
      <c r="B22" s="13" t="s">
        <v>13</v>
      </c>
      <c r="C22" s="13">
        <v>23</v>
      </c>
      <c r="D22" s="13" t="s">
        <v>16</v>
      </c>
      <c r="E22" s="13">
        <v>8</v>
      </c>
      <c r="F22" s="13">
        <f t="shared" ca="1" si="1"/>
        <v>27</v>
      </c>
      <c r="G22" s="13">
        <v>4.3</v>
      </c>
      <c r="H22" s="13">
        <v>50</v>
      </c>
      <c r="I22" s="13">
        <v>44</v>
      </c>
      <c r="J22" s="13">
        <v>72</v>
      </c>
      <c r="K22" s="13">
        <v>54</v>
      </c>
      <c r="L22" s="13">
        <v>50</v>
      </c>
      <c r="M22" s="13">
        <v>68</v>
      </c>
      <c r="N22" s="13">
        <v>80</v>
      </c>
      <c r="O22" s="13">
        <f t="shared" si="2"/>
        <v>64.8</v>
      </c>
      <c r="P22" s="13" t="str">
        <f t="shared" si="3"/>
        <v>Pass</v>
      </c>
      <c r="Q22" s="13" t="str">
        <f t="shared" si="4"/>
        <v>B</v>
      </c>
      <c r="R22" s="13">
        <f t="shared" si="5"/>
        <v>0</v>
      </c>
      <c r="S22" s="13" t="str">
        <f t="shared" si="6"/>
        <v>GOOD</v>
      </c>
      <c r="T22" s="13"/>
      <c r="U22" s="14" t="str">
        <f t="shared" si="7"/>
        <v>YES</v>
      </c>
    </row>
    <row r="23" spans="1:21" x14ac:dyDescent="0.3">
      <c r="A23" s="15" t="str">
        <f t="shared" si="0"/>
        <v>ST022</v>
      </c>
      <c r="B23" s="16" t="s">
        <v>15</v>
      </c>
      <c r="C23" s="16">
        <v>22</v>
      </c>
      <c r="D23" s="16" t="s">
        <v>17</v>
      </c>
      <c r="E23" s="16">
        <v>8</v>
      </c>
      <c r="F23" s="16">
        <f t="shared" ca="1" si="1"/>
        <v>78</v>
      </c>
      <c r="G23" s="16">
        <v>5.7</v>
      </c>
      <c r="H23" s="16">
        <v>92</v>
      </c>
      <c r="I23" s="16">
        <v>33</v>
      </c>
      <c r="J23" s="16">
        <v>65</v>
      </c>
      <c r="K23" s="16">
        <v>48</v>
      </c>
      <c r="L23" s="16">
        <v>30</v>
      </c>
      <c r="M23" s="16">
        <v>75</v>
      </c>
      <c r="N23" s="16">
        <v>39</v>
      </c>
      <c r="O23" s="16">
        <f t="shared" si="2"/>
        <v>51.4</v>
      </c>
      <c r="P23" s="16" t="str">
        <f t="shared" si="3"/>
        <v>Fail</v>
      </c>
      <c r="Q23" s="16" t="str">
        <f t="shared" si="4"/>
        <v>C</v>
      </c>
      <c r="R23" s="16">
        <f t="shared" si="5"/>
        <v>2</v>
      </c>
      <c r="S23" s="16" t="str">
        <f t="shared" si="6"/>
        <v>AVERAGE</v>
      </c>
      <c r="T23" s="16"/>
      <c r="U23" s="17" t="str">
        <f t="shared" si="7"/>
        <v>NO</v>
      </c>
    </row>
    <row r="24" spans="1:21" x14ac:dyDescent="0.3">
      <c r="A24" s="12" t="str">
        <f t="shared" si="0"/>
        <v>ST023</v>
      </c>
      <c r="B24" s="13" t="s">
        <v>13</v>
      </c>
      <c r="C24" s="13">
        <v>24</v>
      </c>
      <c r="D24" s="13" t="s">
        <v>16</v>
      </c>
      <c r="E24" s="13">
        <v>8</v>
      </c>
      <c r="F24" s="13">
        <f t="shared" ca="1" si="1"/>
        <v>92</v>
      </c>
      <c r="G24" s="13">
        <v>5.5</v>
      </c>
      <c r="H24" s="13">
        <v>100</v>
      </c>
      <c r="I24" s="13">
        <v>22</v>
      </c>
      <c r="J24" s="13">
        <v>81</v>
      </c>
      <c r="K24" s="13">
        <v>94</v>
      </c>
      <c r="L24" s="13">
        <v>66</v>
      </c>
      <c r="M24" s="13">
        <v>97</v>
      </c>
      <c r="N24" s="13">
        <v>63</v>
      </c>
      <c r="O24" s="13">
        <f t="shared" si="2"/>
        <v>80.2</v>
      </c>
      <c r="P24" s="13" t="str">
        <f t="shared" si="3"/>
        <v>Pass</v>
      </c>
      <c r="Q24" s="13" t="str">
        <f t="shared" si="4"/>
        <v>A</v>
      </c>
      <c r="R24" s="13">
        <f t="shared" si="5"/>
        <v>0</v>
      </c>
      <c r="S24" s="13" t="str">
        <f t="shared" si="6"/>
        <v>EXCELLENT</v>
      </c>
      <c r="T24" s="13"/>
      <c r="U24" s="14" t="str">
        <f t="shared" si="7"/>
        <v>YES</v>
      </c>
    </row>
    <row r="25" spans="1:21" x14ac:dyDescent="0.3">
      <c r="A25" s="15" t="str">
        <f t="shared" si="0"/>
        <v>ST024</v>
      </c>
      <c r="B25" s="16" t="s">
        <v>13</v>
      </c>
      <c r="C25" s="16">
        <v>22</v>
      </c>
      <c r="D25" s="16" t="s">
        <v>17</v>
      </c>
      <c r="E25" s="16">
        <v>8</v>
      </c>
      <c r="F25" s="16">
        <f t="shared" ca="1" si="1"/>
        <v>53</v>
      </c>
      <c r="G25" s="16">
        <v>4.4000000000000004</v>
      </c>
      <c r="H25" s="16">
        <v>56</v>
      </c>
      <c r="I25" s="16">
        <v>33</v>
      </c>
      <c r="J25" s="16">
        <v>13</v>
      </c>
      <c r="K25" s="16">
        <v>88</v>
      </c>
      <c r="L25" s="16">
        <v>73</v>
      </c>
      <c r="M25" s="16">
        <v>80</v>
      </c>
      <c r="N25" s="16">
        <v>51</v>
      </c>
      <c r="O25" s="16">
        <f t="shared" si="2"/>
        <v>61</v>
      </c>
      <c r="P25" s="16" t="str">
        <f t="shared" si="3"/>
        <v>Fail</v>
      </c>
      <c r="Q25" s="16" t="str">
        <f t="shared" si="4"/>
        <v>B</v>
      </c>
      <c r="R25" s="16">
        <f t="shared" si="5"/>
        <v>1</v>
      </c>
      <c r="S25" s="16" t="str">
        <f t="shared" si="6"/>
        <v>GOOD</v>
      </c>
      <c r="T25" s="16"/>
      <c r="U25" s="17" t="str">
        <f t="shared" si="7"/>
        <v>NO</v>
      </c>
    </row>
    <row r="26" spans="1:21" x14ac:dyDescent="0.3">
      <c r="A26" s="12" t="str">
        <f t="shared" si="0"/>
        <v>ST025</v>
      </c>
      <c r="B26" s="13" t="s">
        <v>13</v>
      </c>
      <c r="C26" s="13">
        <v>23</v>
      </c>
      <c r="D26" s="13" t="s">
        <v>18</v>
      </c>
      <c r="E26" s="13">
        <v>7</v>
      </c>
      <c r="F26" s="13">
        <f t="shared" ca="1" si="1"/>
        <v>45</v>
      </c>
      <c r="G26" s="13">
        <v>2.9</v>
      </c>
      <c r="H26" s="13">
        <v>51</v>
      </c>
      <c r="I26" s="13">
        <v>40</v>
      </c>
      <c r="J26" s="13">
        <v>49</v>
      </c>
      <c r="K26" s="13">
        <v>41</v>
      </c>
      <c r="L26" s="13">
        <v>23</v>
      </c>
      <c r="M26" s="13">
        <v>93</v>
      </c>
      <c r="N26" s="13">
        <v>69</v>
      </c>
      <c r="O26" s="13">
        <f t="shared" si="2"/>
        <v>55.000000000000007</v>
      </c>
      <c r="P26" s="13" t="str">
        <f t="shared" si="3"/>
        <v>Fail</v>
      </c>
      <c r="Q26" s="13" t="str">
        <f t="shared" si="4"/>
        <v>C</v>
      </c>
      <c r="R26" s="13">
        <f t="shared" si="5"/>
        <v>1</v>
      </c>
      <c r="S26" s="13" t="str">
        <f t="shared" si="6"/>
        <v>AVERAGE</v>
      </c>
      <c r="T26" s="13"/>
      <c r="U26" s="14" t="str">
        <f t="shared" si="7"/>
        <v>NO</v>
      </c>
    </row>
    <row r="27" spans="1:21" x14ac:dyDescent="0.3">
      <c r="A27" s="15" t="str">
        <f t="shared" si="0"/>
        <v>ST026</v>
      </c>
      <c r="B27" s="16" t="s">
        <v>15</v>
      </c>
      <c r="C27" s="16">
        <v>24</v>
      </c>
      <c r="D27" s="16" t="s">
        <v>16</v>
      </c>
      <c r="E27" s="16">
        <v>7</v>
      </c>
      <c r="F27" s="16">
        <f t="shared" ca="1" si="1"/>
        <v>82</v>
      </c>
      <c r="G27" s="16">
        <v>3.5</v>
      </c>
      <c r="H27" s="16">
        <v>89</v>
      </c>
      <c r="I27" s="16">
        <v>47</v>
      </c>
      <c r="J27" s="16">
        <v>79</v>
      </c>
      <c r="K27" s="16">
        <v>32</v>
      </c>
      <c r="L27" s="16">
        <v>56</v>
      </c>
      <c r="M27" s="16">
        <v>70</v>
      </c>
      <c r="N27" s="16">
        <v>94</v>
      </c>
      <c r="O27" s="16">
        <f t="shared" si="2"/>
        <v>66.2</v>
      </c>
      <c r="P27" s="16" t="str">
        <f t="shared" si="3"/>
        <v>Fail</v>
      </c>
      <c r="Q27" s="16" t="str">
        <f t="shared" si="4"/>
        <v>B</v>
      </c>
      <c r="R27" s="16">
        <f t="shared" si="5"/>
        <v>1</v>
      </c>
      <c r="S27" s="16" t="str">
        <f t="shared" si="6"/>
        <v>GOOD</v>
      </c>
      <c r="T27" s="16"/>
      <c r="U27" s="17" t="str">
        <f t="shared" si="7"/>
        <v>NO</v>
      </c>
    </row>
    <row r="28" spans="1:21" x14ac:dyDescent="0.3">
      <c r="A28" s="12" t="str">
        <f t="shared" si="0"/>
        <v>ST027</v>
      </c>
      <c r="B28" s="13" t="s">
        <v>15</v>
      </c>
      <c r="C28" s="13">
        <v>22</v>
      </c>
      <c r="D28" s="13" t="s">
        <v>17</v>
      </c>
      <c r="E28" s="13">
        <v>7</v>
      </c>
      <c r="F28" s="13">
        <f t="shared" ca="1" si="1"/>
        <v>56</v>
      </c>
      <c r="G28" s="13">
        <v>1.1000000000000001</v>
      </c>
      <c r="H28" s="13">
        <v>57</v>
      </c>
      <c r="I28" s="13">
        <v>25</v>
      </c>
      <c r="J28" s="13">
        <v>44</v>
      </c>
      <c r="K28" s="13">
        <v>51</v>
      </c>
      <c r="L28" s="13">
        <v>94</v>
      </c>
      <c r="M28" s="13">
        <v>68</v>
      </c>
      <c r="N28" s="13">
        <v>95</v>
      </c>
      <c r="O28" s="13">
        <f t="shared" si="2"/>
        <v>70.399999999999991</v>
      </c>
      <c r="P28" s="13" t="str">
        <f t="shared" si="3"/>
        <v>Pass</v>
      </c>
      <c r="Q28" s="13" t="str">
        <f t="shared" si="4"/>
        <v>B</v>
      </c>
      <c r="R28" s="13">
        <f t="shared" si="5"/>
        <v>0</v>
      </c>
      <c r="S28" s="13" t="str">
        <f t="shared" si="6"/>
        <v>GOOD</v>
      </c>
      <c r="T28" s="13"/>
      <c r="U28" s="14" t="str">
        <f t="shared" si="7"/>
        <v>YES</v>
      </c>
    </row>
    <row r="29" spans="1:21" x14ac:dyDescent="0.3">
      <c r="A29" s="15" t="str">
        <f t="shared" si="0"/>
        <v>ST028</v>
      </c>
      <c r="B29" s="16" t="s">
        <v>13</v>
      </c>
      <c r="C29" s="16">
        <v>24</v>
      </c>
      <c r="D29" s="16" t="s">
        <v>17</v>
      </c>
      <c r="E29" s="16">
        <v>7</v>
      </c>
      <c r="F29" s="16">
        <f t="shared" ca="1" si="1"/>
        <v>75</v>
      </c>
      <c r="G29" s="16">
        <v>2.7</v>
      </c>
      <c r="H29" s="16">
        <v>78</v>
      </c>
      <c r="I29" s="16">
        <v>38</v>
      </c>
      <c r="J29" s="16">
        <v>40</v>
      </c>
      <c r="K29" s="16">
        <v>77</v>
      </c>
      <c r="L29" s="16">
        <v>24</v>
      </c>
      <c r="M29" s="16">
        <v>71</v>
      </c>
      <c r="N29" s="16">
        <v>52</v>
      </c>
      <c r="O29" s="16">
        <f t="shared" si="2"/>
        <v>52.800000000000004</v>
      </c>
      <c r="P29" s="16" t="str">
        <f t="shared" si="3"/>
        <v>Fail</v>
      </c>
      <c r="Q29" s="16" t="str">
        <f t="shared" si="4"/>
        <v>C</v>
      </c>
      <c r="R29" s="16">
        <f t="shared" si="5"/>
        <v>1</v>
      </c>
      <c r="S29" s="16" t="str">
        <f t="shared" si="6"/>
        <v>AVERAGE</v>
      </c>
      <c r="T29" s="16"/>
      <c r="U29" s="17" t="str">
        <f t="shared" si="7"/>
        <v>NO</v>
      </c>
    </row>
    <row r="30" spans="1:21" x14ac:dyDescent="0.3">
      <c r="A30" s="12" t="str">
        <f t="shared" si="0"/>
        <v>ST029</v>
      </c>
      <c r="B30" s="13" t="s">
        <v>15</v>
      </c>
      <c r="C30" s="13">
        <v>22</v>
      </c>
      <c r="D30" s="13" t="s">
        <v>16</v>
      </c>
      <c r="E30" s="13">
        <v>8</v>
      </c>
      <c r="F30" s="13">
        <f t="shared" ca="1" si="1"/>
        <v>83</v>
      </c>
      <c r="G30" s="13">
        <v>4.5</v>
      </c>
      <c r="H30" s="13">
        <v>90</v>
      </c>
      <c r="I30" s="13">
        <v>32</v>
      </c>
      <c r="J30" s="13">
        <v>19</v>
      </c>
      <c r="K30" s="13">
        <v>57</v>
      </c>
      <c r="L30" s="13">
        <v>24</v>
      </c>
      <c r="M30" s="13">
        <v>96</v>
      </c>
      <c r="N30" s="13">
        <v>43</v>
      </c>
      <c r="O30" s="13">
        <f t="shared" si="2"/>
        <v>47.8</v>
      </c>
      <c r="P30" s="13" t="str">
        <f t="shared" si="3"/>
        <v>Fail</v>
      </c>
      <c r="Q30" s="13" t="str">
        <f t="shared" si="4"/>
        <v>D</v>
      </c>
      <c r="R30" s="13">
        <f t="shared" si="5"/>
        <v>2</v>
      </c>
      <c r="S30" s="13" t="str">
        <f t="shared" si="6"/>
        <v>AVERAGE</v>
      </c>
      <c r="T30" s="13"/>
      <c r="U30" s="14" t="str">
        <f t="shared" si="7"/>
        <v>NO</v>
      </c>
    </row>
    <row r="31" spans="1:21" x14ac:dyDescent="0.3">
      <c r="A31" s="15" t="str">
        <f t="shared" si="0"/>
        <v>ST030</v>
      </c>
      <c r="B31" s="16" t="s">
        <v>15</v>
      </c>
      <c r="C31" s="16">
        <v>22</v>
      </c>
      <c r="D31" s="16" t="s">
        <v>17</v>
      </c>
      <c r="E31" s="16">
        <v>7</v>
      </c>
      <c r="F31" s="16">
        <f t="shared" ca="1" si="1"/>
        <v>82</v>
      </c>
      <c r="G31" s="16">
        <v>2.5</v>
      </c>
      <c r="H31" s="16">
        <v>93</v>
      </c>
      <c r="I31" s="16">
        <v>44</v>
      </c>
      <c r="J31" s="16">
        <v>73</v>
      </c>
      <c r="K31" s="16">
        <v>81</v>
      </c>
      <c r="L31" s="16">
        <v>80</v>
      </c>
      <c r="M31" s="16">
        <v>97</v>
      </c>
      <c r="N31" s="16">
        <v>50</v>
      </c>
      <c r="O31" s="16">
        <f t="shared" si="2"/>
        <v>76.2</v>
      </c>
      <c r="P31" s="16" t="str">
        <f t="shared" si="3"/>
        <v>Pass</v>
      </c>
      <c r="Q31" s="16" t="str">
        <f t="shared" si="4"/>
        <v>B</v>
      </c>
      <c r="R31" s="16">
        <f t="shared" si="5"/>
        <v>0</v>
      </c>
      <c r="S31" s="16" t="str">
        <f t="shared" si="6"/>
        <v>GOOD</v>
      </c>
      <c r="T31" s="16"/>
      <c r="U31" s="17" t="str">
        <f t="shared" si="7"/>
        <v>YES</v>
      </c>
    </row>
    <row r="32" spans="1:21" x14ac:dyDescent="0.3">
      <c r="A32" s="12" t="str">
        <f t="shared" si="0"/>
        <v>ST031</v>
      </c>
      <c r="B32" s="13" t="s">
        <v>13</v>
      </c>
      <c r="C32" s="13">
        <v>21</v>
      </c>
      <c r="D32" s="13" t="s">
        <v>18</v>
      </c>
      <c r="E32" s="13">
        <v>7</v>
      </c>
      <c r="F32" s="13">
        <f t="shared" ca="1" si="1"/>
        <v>41</v>
      </c>
      <c r="G32" s="13">
        <v>3.9</v>
      </c>
      <c r="H32" s="13">
        <v>70</v>
      </c>
      <c r="I32" s="13">
        <v>50</v>
      </c>
      <c r="J32" s="13">
        <v>40</v>
      </c>
      <c r="K32" s="13">
        <v>71</v>
      </c>
      <c r="L32" s="13">
        <v>78</v>
      </c>
      <c r="M32" s="13">
        <v>79</v>
      </c>
      <c r="N32" s="13">
        <v>50</v>
      </c>
      <c r="O32" s="13">
        <f t="shared" si="2"/>
        <v>63.6</v>
      </c>
      <c r="P32" s="13" t="str">
        <f t="shared" si="3"/>
        <v>Pass</v>
      </c>
      <c r="Q32" s="13" t="str">
        <f t="shared" si="4"/>
        <v>B</v>
      </c>
      <c r="R32" s="13">
        <f t="shared" si="5"/>
        <v>0</v>
      </c>
      <c r="S32" s="13" t="str">
        <f t="shared" si="6"/>
        <v>GOOD</v>
      </c>
      <c r="T32" s="13"/>
      <c r="U32" s="14" t="str">
        <f t="shared" si="7"/>
        <v>YES</v>
      </c>
    </row>
    <row r="33" spans="1:21" x14ac:dyDescent="0.3">
      <c r="A33" s="15" t="str">
        <f t="shared" si="0"/>
        <v>ST032</v>
      </c>
      <c r="B33" s="16" t="s">
        <v>13</v>
      </c>
      <c r="C33" s="16">
        <v>24</v>
      </c>
      <c r="D33" s="16" t="s">
        <v>18</v>
      </c>
      <c r="E33" s="16">
        <v>8</v>
      </c>
      <c r="F33" s="16">
        <f t="shared" ca="1" si="1"/>
        <v>61</v>
      </c>
      <c r="G33" s="16">
        <v>1.9</v>
      </c>
      <c r="H33" s="16">
        <v>51</v>
      </c>
      <c r="I33" s="16">
        <v>22</v>
      </c>
      <c r="J33" s="16">
        <v>25</v>
      </c>
      <c r="K33" s="16">
        <v>18</v>
      </c>
      <c r="L33" s="16">
        <v>68</v>
      </c>
      <c r="M33" s="16">
        <v>87</v>
      </c>
      <c r="N33" s="16">
        <v>90</v>
      </c>
      <c r="O33" s="16">
        <f t="shared" si="2"/>
        <v>57.599999999999994</v>
      </c>
      <c r="P33" s="16" t="str">
        <f t="shared" si="3"/>
        <v>Fail</v>
      </c>
      <c r="Q33" s="16" t="str">
        <f t="shared" si="4"/>
        <v>C</v>
      </c>
      <c r="R33" s="16">
        <f t="shared" si="5"/>
        <v>2</v>
      </c>
      <c r="S33" s="16" t="str">
        <f t="shared" si="6"/>
        <v>AVERAGE</v>
      </c>
      <c r="T33" s="16"/>
      <c r="U33" s="17" t="str">
        <f t="shared" si="7"/>
        <v>NO</v>
      </c>
    </row>
    <row r="34" spans="1:21" x14ac:dyDescent="0.3">
      <c r="A34" s="12" t="str">
        <f t="shared" si="0"/>
        <v>ST033</v>
      </c>
      <c r="B34" s="13" t="s">
        <v>13</v>
      </c>
      <c r="C34" s="13">
        <v>21</v>
      </c>
      <c r="D34" s="13" t="s">
        <v>18</v>
      </c>
      <c r="E34" s="13">
        <v>8</v>
      </c>
      <c r="F34" s="13">
        <f t="shared" ca="1" si="1"/>
        <v>74</v>
      </c>
      <c r="G34" s="13">
        <v>5.4</v>
      </c>
      <c r="H34" s="13">
        <v>53</v>
      </c>
      <c r="I34" s="13">
        <v>27</v>
      </c>
      <c r="J34" s="13">
        <v>82</v>
      </c>
      <c r="K34" s="13">
        <v>27</v>
      </c>
      <c r="L34" s="13">
        <v>86</v>
      </c>
      <c r="M34" s="13">
        <v>56</v>
      </c>
      <c r="N34" s="13">
        <v>76</v>
      </c>
      <c r="O34" s="13">
        <f t="shared" si="2"/>
        <v>65.400000000000006</v>
      </c>
      <c r="P34" s="13" t="str">
        <f t="shared" si="3"/>
        <v>Fail</v>
      </c>
      <c r="Q34" s="13" t="str">
        <f t="shared" si="4"/>
        <v>B</v>
      </c>
      <c r="R34" s="13">
        <f t="shared" si="5"/>
        <v>1</v>
      </c>
      <c r="S34" s="13" t="str">
        <f t="shared" si="6"/>
        <v>GOOD</v>
      </c>
      <c r="T34" s="13"/>
      <c r="U34" s="14" t="str">
        <f t="shared" si="7"/>
        <v>NO</v>
      </c>
    </row>
    <row r="35" spans="1:21" x14ac:dyDescent="0.3">
      <c r="A35" s="15" t="str">
        <f t="shared" si="0"/>
        <v>ST034</v>
      </c>
      <c r="B35" s="16" t="s">
        <v>15</v>
      </c>
      <c r="C35" s="16">
        <v>23</v>
      </c>
      <c r="D35" s="16" t="s">
        <v>17</v>
      </c>
      <c r="E35" s="16">
        <v>8</v>
      </c>
      <c r="F35" s="16">
        <f t="shared" ca="1" si="1"/>
        <v>77</v>
      </c>
      <c r="G35" s="16">
        <v>2.4</v>
      </c>
      <c r="H35" s="16">
        <v>95</v>
      </c>
      <c r="I35" s="16">
        <v>23</v>
      </c>
      <c r="J35" s="16">
        <v>88</v>
      </c>
      <c r="K35" s="16">
        <v>12</v>
      </c>
      <c r="L35" s="16">
        <v>45</v>
      </c>
      <c r="M35" s="16">
        <v>83</v>
      </c>
      <c r="N35" s="16">
        <v>40</v>
      </c>
      <c r="O35" s="16">
        <f t="shared" si="2"/>
        <v>53.6</v>
      </c>
      <c r="P35" s="16" t="str">
        <f t="shared" si="3"/>
        <v>Fail</v>
      </c>
      <c r="Q35" s="16" t="str">
        <f t="shared" si="4"/>
        <v>C</v>
      </c>
      <c r="R35" s="16">
        <f t="shared" si="5"/>
        <v>1</v>
      </c>
      <c r="S35" s="16" t="str">
        <f t="shared" si="6"/>
        <v>AVERAGE</v>
      </c>
      <c r="T35" s="16"/>
      <c r="U35" s="17" t="str">
        <f t="shared" si="7"/>
        <v>NO</v>
      </c>
    </row>
    <row r="36" spans="1:21" x14ac:dyDescent="0.3">
      <c r="A36" s="12" t="str">
        <f t="shared" si="0"/>
        <v>ST035</v>
      </c>
      <c r="B36" s="13" t="s">
        <v>15</v>
      </c>
      <c r="C36" s="13">
        <v>23</v>
      </c>
      <c r="D36" s="13" t="s">
        <v>17</v>
      </c>
      <c r="E36" s="13">
        <v>8</v>
      </c>
      <c r="F36" s="13">
        <f t="shared" ca="1" si="1"/>
        <v>69</v>
      </c>
      <c r="G36" s="13">
        <v>1.7</v>
      </c>
      <c r="H36" s="13">
        <v>60</v>
      </c>
      <c r="I36" s="13">
        <v>50</v>
      </c>
      <c r="J36" s="13">
        <v>16</v>
      </c>
      <c r="K36" s="13">
        <v>41</v>
      </c>
      <c r="L36" s="13">
        <v>79</v>
      </c>
      <c r="M36" s="13">
        <v>52</v>
      </c>
      <c r="N36" s="13">
        <v>79</v>
      </c>
      <c r="O36" s="13">
        <f t="shared" si="2"/>
        <v>53.400000000000006</v>
      </c>
      <c r="P36" s="13" t="str">
        <f t="shared" si="3"/>
        <v>Fail</v>
      </c>
      <c r="Q36" s="13" t="str">
        <f t="shared" si="4"/>
        <v>C</v>
      </c>
      <c r="R36" s="13">
        <f t="shared" si="5"/>
        <v>1</v>
      </c>
      <c r="S36" s="13" t="str">
        <f t="shared" si="6"/>
        <v>AVERAGE</v>
      </c>
      <c r="T36" s="13"/>
      <c r="U36" s="14" t="str">
        <f t="shared" si="7"/>
        <v>NO</v>
      </c>
    </row>
    <row r="37" spans="1:21" x14ac:dyDescent="0.3">
      <c r="A37" s="15" t="str">
        <f t="shared" si="0"/>
        <v>ST036</v>
      </c>
      <c r="B37" s="16" t="s">
        <v>13</v>
      </c>
      <c r="C37" s="16">
        <v>24</v>
      </c>
      <c r="D37" s="16" t="s">
        <v>16</v>
      </c>
      <c r="E37" s="16">
        <v>7</v>
      </c>
      <c r="F37" s="16">
        <f t="shared" ca="1" si="1"/>
        <v>82</v>
      </c>
      <c r="G37" s="16">
        <v>1.9</v>
      </c>
      <c r="H37" s="16">
        <v>96</v>
      </c>
      <c r="I37" s="16">
        <v>35</v>
      </c>
      <c r="J37" s="16">
        <v>19</v>
      </c>
      <c r="K37" s="16">
        <v>19</v>
      </c>
      <c r="L37" s="16">
        <v>85</v>
      </c>
      <c r="M37" s="16">
        <v>55</v>
      </c>
      <c r="N37" s="16">
        <v>52</v>
      </c>
      <c r="O37" s="16">
        <f t="shared" si="2"/>
        <v>46</v>
      </c>
      <c r="P37" s="16" t="str">
        <f t="shared" si="3"/>
        <v>Fail</v>
      </c>
      <c r="Q37" s="16" t="str">
        <f t="shared" si="4"/>
        <v>D</v>
      </c>
      <c r="R37" s="16">
        <f t="shared" si="5"/>
        <v>2</v>
      </c>
      <c r="S37" s="16" t="str">
        <f t="shared" si="6"/>
        <v>AVERAGE</v>
      </c>
      <c r="T37" s="16"/>
      <c r="U37" s="17" t="str">
        <f t="shared" si="7"/>
        <v>NO</v>
      </c>
    </row>
    <row r="38" spans="1:21" x14ac:dyDescent="0.3">
      <c r="A38" s="12" t="str">
        <f t="shared" si="0"/>
        <v>ST037</v>
      </c>
      <c r="B38" s="13" t="s">
        <v>13</v>
      </c>
      <c r="C38" s="13">
        <v>22</v>
      </c>
      <c r="D38" s="13" t="s">
        <v>16</v>
      </c>
      <c r="E38" s="13">
        <v>8</v>
      </c>
      <c r="F38" s="13">
        <f t="shared" ca="1" si="1"/>
        <v>93</v>
      </c>
      <c r="G38" s="13">
        <v>5.5</v>
      </c>
      <c r="H38" s="13">
        <v>84</v>
      </c>
      <c r="I38" s="13">
        <v>48</v>
      </c>
      <c r="J38" s="13">
        <v>56</v>
      </c>
      <c r="K38" s="13">
        <v>25</v>
      </c>
      <c r="L38" s="13">
        <v>28</v>
      </c>
      <c r="M38" s="13">
        <v>91</v>
      </c>
      <c r="N38" s="13">
        <v>38</v>
      </c>
      <c r="O38" s="13">
        <f t="shared" si="2"/>
        <v>47.599999999999994</v>
      </c>
      <c r="P38" s="13" t="str">
        <f t="shared" si="3"/>
        <v>Fail</v>
      </c>
      <c r="Q38" s="13" t="str">
        <f t="shared" si="4"/>
        <v>D</v>
      </c>
      <c r="R38" s="13">
        <f t="shared" si="5"/>
        <v>3</v>
      </c>
      <c r="S38" s="13" t="str">
        <f t="shared" si="6"/>
        <v>AVERAGE</v>
      </c>
      <c r="T38" s="13"/>
      <c r="U38" s="14" t="str">
        <f t="shared" si="7"/>
        <v>NO</v>
      </c>
    </row>
    <row r="39" spans="1:21" x14ac:dyDescent="0.3">
      <c r="A39" s="15" t="str">
        <f t="shared" si="0"/>
        <v>ST038</v>
      </c>
      <c r="B39" s="16" t="s">
        <v>13</v>
      </c>
      <c r="C39" s="16">
        <v>24</v>
      </c>
      <c r="D39" s="16" t="s">
        <v>14</v>
      </c>
      <c r="E39" s="16">
        <v>8</v>
      </c>
      <c r="F39" s="16">
        <f t="shared" ca="1" si="1"/>
        <v>87</v>
      </c>
      <c r="G39" s="16">
        <v>1.2</v>
      </c>
      <c r="H39" s="16">
        <v>74</v>
      </c>
      <c r="I39" s="16">
        <v>44</v>
      </c>
      <c r="J39" s="16">
        <v>43</v>
      </c>
      <c r="K39" s="16">
        <v>46</v>
      </c>
      <c r="L39" s="16">
        <v>42</v>
      </c>
      <c r="M39" s="16">
        <v>89</v>
      </c>
      <c r="N39" s="16">
        <v>44</v>
      </c>
      <c r="O39" s="16">
        <f t="shared" si="2"/>
        <v>52.800000000000004</v>
      </c>
      <c r="P39" s="16" t="str">
        <f t="shared" si="3"/>
        <v>Pass</v>
      </c>
      <c r="Q39" s="16" t="str">
        <f t="shared" si="4"/>
        <v>C</v>
      </c>
      <c r="R39" s="16">
        <f t="shared" si="5"/>
        <v>0</v>
      </c>
      <c r="S39" s="16" t="str">
        <f t="shared" si="6"/>
        <v>AVERAGE</v>
      </c>
      <c r="T39" s="16"/>
      <c r="U39" s="17" t="str">
        <f t="shared" si="7"/>
        <v>YES</v>
      </c>
    </row>
    <row r="40" spans="1:21" x14ac:dyDescent="0.3">
      <c r="A40" s="12" t="str">
        <f t="shared" si="0"/>
        <v>ST039</v>
      </c>
      <c r="B40" s="13" t="s">
        <v>13</v>
      </c>
      <c r="C40" s="13">
        <v>21</v>
      </c>
      <c r="D40" s="13" t="s">
        <v>18</v>
      </c>
      <c r="E40" s="13">
        <v>8</v>
      </c>
      <c r="F40" s="13">
        <f t="shared" ca="1" si="1"/>
        <v>82</v>
      </c>
      <c r="G40" s="13">
        <v>2.9</v>
      </c>
      <c r="H40" s="13">
        <v>81</v>
      </c>
      <c r="I40" s="13">
        <v>31</v>
      </c>
      <c r="J40" s="13">
        <v>71</v>
      </c>
      <c r="K40" s="13">
        <v>33</v>
      </c>
      <c r="L40" s="13">
        <v>47</v>
      </c>
      <c r="M40" s="13">
        <v>71</v>
      </c>
      <c r="N40" s="13">
        <v>96</v>
      </c>
      <c r="O40" s="13">
        <f t="shared" si="2"/>
        <v>63.6</v>
      </c>
      <c r="P40" s="13" t="str">
        <f t="shared" si="3"/>
        <v>Fail</v>
      </c>
      <c r="Q40" s="13" t="str">
        <f t="shared" si="4"/>
        <v>B</v>
      </c>
      <c r="R40" s="13">
        <f t="shared" si="5"/>
        <v>1</v>
      </c>
      <c r="S40" s="13" t="str">
        <f t="shared" si="6"/>
        <v>GOOD</v>
      </c>
      <c r="T40" s="13"/>
      <c r="U40" s="14" t="str">
        <f t="shared" si="7"/>
        <v>NO</v>
      </c>
    </row>
    <row r="41" spans="1:21" x14ac:dyDescent="0.3">
      <c r="A41" s="15" t="str">
        <f t="shared" si="0"/>
        <v>ST040</v>
      </c>
      <c r="B41" s="16" t="s">
        <v>15</v>
      </c>
      <c r="C41" s="16">
        <v>24</v>
      </c>
      <c r="D41" s="16" t="s">
        <v>17</v>
      </c>
      <c r="E41" s="16">
        <v>8</v>
      </c>
      <c r="F41" s="16">
        <f t="shared" ca="1" si="1"/>
        <v>51</v>
      </c>
      <c r="G41" s="16">
        <v>1.2</v>
      </c>
      <c r="H41" s="16">
        <v>69</v>
      </c>
      <c r="I41" s="16">
        <v>47</v>
      </c>
      <c r="J41" s="16">
        <v>82</v>
      </c>
      <c r="K41" s="16">
        <v>82</v>
      </c>
      <c r="L41" s="16">
        <v>92</v>
      </c>
      <c r="M41" s="16">
        <v>81</v>
      </c>
      <c r="N41" s="16">
        <v>50</v>
      </c>
      <c r="O41" s="16">
        <f t="shared" si="2"/>
        <v>77.400000000000006</v>
      </c>
      <c r="P41" s="16" t="str">
        <f t="shared" si="3"/>
        <v>Pass</v>
      </c>
      <c r="Q41" s="16" t="str">
        <f t="shared" si="4"/>
        <v>B</v>
      </c>
      <c r="R41" s="16">
        <f t="shared" si="5"/>
        <v>0</v>
      </c>
      <c r="S41" s="16" t="str">
        <f t="shared" si="6"/>
        <v>GOOD</v>
      </c>
      <c r="T41" s="16"/>
      <c r="U41" s="17" t="str">
        <f t="shared" si="7"/>
        <v>YES</v>
      </c>
    </row>
    <row r="42" spans="1:21" x14ac:dyDescent="0.3">
      <c r="A42" s="12" t="str">
        <f t="shared" si="0"/>
        <v>ST041</v>
      </c>
      <c r="B42" s="13" t="s">
        <v>13</v>
      </c>
      <c r="C42" s="13">
        <v>23</v>
      </c>
      <c r="D42" s="13" t="s">
        <v>17</v>
      </c>
      <c r="E42" s="13">
        <v>7</v>
      </c>
      <c r="F42" s="13">
        <f t="shared" ca="1" si="1"/>
        <v>78</v>
      </c>
      <c r="G42" s="13">
        <v>2.4</v>
      </c>
      <c r="H42" s="13">
        <v>85</v>
      </c>
      <c r="I42" s="13">
        <v>50</v>
      </c>
      <c r="J42" s="13">
        <v>32</v>
      </c>
      <c r="K42" s="13">
        <v>63</v>
      </c>
      <c r="L42" s="13">
        <v>89</v>
      </c>
      <c r="M42" s="13">
        <v>83</v>
      </c>
      <c r="N42" s="13">
        <v>59</v>
      </c>
      <c r="O42" s="13">
        <f t="shared" si="2"/>
        <v>65.2</v>
      </c>
      <c r="P42" s="13" t="str">
        <f t="shared" si="3"/>
        <v>Fail</v>
      </c>
      <c r="Q42" s="13" t="str">
        <f t="shared" si="4"/>
        <v>B</v>
      </c>
      <c r="R42" s="13">
        <f t="shared" si="5"/>
        <v>1</v>
      </c>
      <c r="S42" s="13" t="str">
        <f t="shared" si="6"/>
        <v>GOOD</v>
      </c>
      <c r="T42" s="13"/>
      <c r="U42" s="14" t="str">
        <f t="shared" si="7"/>
        <v>NO</v>
      </c>
    </row>
    <row r="43" spans="1:21" x14ac:dyDescent="0.3">
      <c r="A43" s="15" t="str">
        <f t="shared" si="0"/>
        <v>ST042</v>
      </c>
      <c r="B43" s="16" t="s">
        <v>13</v>
      </c>
      <c r="C43" s="16">
        <v>22</v>
      </c>
      <c r="D43" s="16" t="s">
        <v>14</v>
      </c>
      <c r="E43" s="16">
        <v>8</v>
      </c>
      <c r="F43" s="16">
        <f t="shared" ca="1" si="1"/>
        <v>85</v>
      </c>
      <c r="G43" s="16">
        <v>3.4</v>
      </c>
      <c r="H43" s="16">
        <v>99</v>
      </c>
      <c r="I43" s="16">
        <v>18</v>
      </c>
      <c r="J43" s="16">
        <v>52</v>
      </c>
      <c r="K43" s="16">
        <v>48</v>
      </c>
      <c r="L43" s="16">
        <v>25</v>
      </c>
      <c r="M43" s="16">
        <v>56</v>
      </c>
      <c r="N43" s="16">
        <v>78</v>
      </c>
      <c r="O43" s="16">
        <f t="shared" si="2"/>
        <v>51.800000000000004</v>
      </c>
      <c r="P43" s="16" t="str">
        <f t="shared" si="3"/>
        <v>Fail</v>
      </c>
      <c r="Q43" s="16" t="str">
        <f t="shared" si="4"/>
        <v>C</v>
      </c>
      <c r="R43" s="16">
        <f t="shared" si="5"/>
        <v>1</v>
      </c>
      <c r="S43" s="16" t="str">
        <f t="shared" si="6"/>
        <v>AVERAGE</v>
      </c>
      <c r="T43" s="16"/>
      <c r="U43" s="17" t="str">
        <f t="shared" si="7"/>
        <v>NO</v>
      </c>
    </row>
    <row r="44" spans="1:21" x14ac:dyDescent="0.3">
      <c r="A44" s="12" t="str">
        <f t="shared" si="0"/>
        <v>ST043</v>
      </c>
      <c r="B44" s="13" t="s">
        <v>15</v>
      </c>
      <c r="C44" s="13">
        <v>21</v>
      </c>
      <c r="D44" s="13" t="s">
        <v>16</v>
      </c>
      <c r="E44" s="13">
        <v>7</v>
      </c>
      <c r="F44" s="13">
        <f t="shared" ca="1" si="1"/>
        <v>92</v>
      </c>
      <c r="G44" s="13">
        <v>2.5</v>
      </c>
      <c r="H44" s="13">
        <v>86</v>
      </c>
      <c r="I44" s="13">
        <v>31</v>
      </c>
      <c r="J44" s="13">
        <v>31</v>
      </c>
      <c r="K44" s="13">
        <v>12</v>
      </c>
      <c r="L44" s="13">
        <v>50</v>
      </c>
      <c r="M44" s="13">
        <v>72</v>
      </c>
      <c r="N44" s="13">
        <v>95</v>
      </c>
      <c r="O44" s="13">
        <f t="shared" si="2"/>
        <v>52</v>
      </c>
      <c r="P44" s="13" t="str">
        <f t="shared" si="3"/>
        <v>Fail</v>
      </c>
      <c r="Q44" s="13" t="str">
        <f t="shared" si="4"/>
        <v>C</v>
      </c>
      <c r="R44" s="13">
        <f t="shared" si="5"/>
        <v>2</v>
      </c>
      <c r="S44" s="13" t="str">
        <f t="shared" si="6"/>
        <v>AVERAGE</v>
      </c>
      <c r="T44" s="13"/>
      <c r="U44" s="14" t="str">
        <f t="shared" si="7"/>
        <v>NO</v>
      </c>
    </row>
    <row r="45" spans="1:21" x14ac:dyDescent="0.3">
      <c r="A45" s="15" t="str">
        <f t="shared" si="0"/>
        <v>ST044</v>
      </c>
      <c r="B45" s="16" t="s">
        <v>13</v>
      </c>
      <c r="C45" s="16">
        <v>23</v>
      </c>
      <c r="D45" s="16" t="s">
        <v>16</v>
      </c>
      <c r="E45" s="16">
        <v>8</v>
      </c>
      <c r="F45" s="16">
        <f t="shared" ca="1" si="1"/>
        <v>94</v>
      </c>
      <c r="G45" s="16">
        <v>1.2</v>
      </c>
      <c r="H45" s="16">
        <v>76</v>
      </c>
      <c r="I45" s="16">
        <v>20</v>
      </c>
      <c r="J45" s="16">
        <v>75</v>
      </c>
      <c r="K45" s="16">
        <v>50</v>
      </c>
      <c r="L45" s="16">
        <v>88</v>
      </c>
      <c r="M45" s="16">
        <v>98</v>
      </c>
      <c r="N45" s="16">
        <v>30</v>
      </c>
      <c r="O45" s="16">
        <f t="shared" si="2"/>
        <v>68.2</v>
      </c>
      <c r="P45" s="16" t="str">
        <f t="shared" si="3"/>
        <v>Fail</v>
      </c>
      <c r="Q45" s="16" t="str">
        <f t="shared" si="4"/>
        <v>B</v>
      </c>
      <c r="R45" s="16">
        <f t="shared" si="5"/>
        <v>1</v>
      </c>
      <c r="S45" s="16" t="str">
        <f t="shared" si="6"/>
        <v>GOOD</v>
      </c>
      <c r="T45" s="16"/>
      <c r="U45" s="17" t="str">
        <f t="shared" si="7"/>
        <v>NO</v>
      </c>
    </row>
    <row r="46" spans="1:21" x14ac:dyDescent="0.3">
      <c r="A46" s="12" t="str">
        <f t="shared" si="0"/>
        <v>ST045</v>
      </c>
      <c r="B46" s="13" t="s">
        <v>15</v>
      </c>
      <c r="C46" s="13">
        <v>21</v>
      </c>
      <c r="D46" s="13" t="s">
        <v>17</v>
      </c>
      <c r="E46" s="13">
        <v>8</v>
      </c>
      <c r="F46" s="13">
        <f t="shared" ca="1" si="1"/>
        <v>92</v>
      </c>
      <c r="G46" s="13">
        <v>4.5</v>
      </c>
      <c r="H46" s="13">
        <v>88</v>
      </c>
      <c r="I46" s="13">
        <v>27</v>
      </c>
      <c r="J46" s="13">
        <v>55</v>
      </c>
      <c r="K46" s="13">
        <v>32</v>
      </c>
      <c r="L46" s="13">
        <v>78</v>
      </c>
      <c r="M46" s="13">
        <v>67</v>
      </c>
      <c r="N46" s="13">
        <v>36</v>
      </c>
      <c r="O46" s="13">
        <f t="shared" si="2"/>
        <v>53.6</v>
      </c>
      <c r="P46" s="13" t="str">
        <f t="shared" si="3"/>
        <v>Fail</v>
      </c>
      <c r="Q46" s="13" t="str">
        <f t="shared" si="4"/>
        <v>C</v>
      </c>
      <c r="R46" s="13">
        <f t="shared" si="5"/>
        <v>2</v>
      </c>
      <c r="S46" s="13" t="str">
        <f t="shared" si="6"/>
        <v>AVERAGE</v>
      </c>
      <c r="T46" s="13"/>
      <c r="U46" s="14" t="str">
        <f t="shared" si="7"/>
        <v>NO</v>
      </c>
    </row>
    <row r="47" spans="1:21" x14ac:dyDescent="0.3">
      <c r="A47" s="15" t="str">
        <f t="shared" si="0"/>
        <v>ST046</v>
      </c>
      <c r="B47" s="16" t="s">
        <v>15</v>
      </c>
      <c r="C47" s="16">
        <v>21</v>
      </c>
      <c r="D47" s="16" t="s">
        <v>14</v>
      </c>
      <c r="E47" s="16">
        <v>8</v>
      </c>
      <c r="F47" s="16">
        <f t="shared" ca="1" si="1"/>
        <v>53</v>
      </c>
      <c r="G47" s="16">
        <v>5.3</v>
      </c>
      <c r="H47" s="16">
        <v>55</v>
      </c>
      <c r="I47" s="16">
        <v>49</v>
      </c>
      <c r="J47" s="16">
        <v>11</v>
      </c>
      <c r="K47" s="16">
        <v>69</v>
      </c>
      <c r="L47" s="16">
        <v>31</v>
      </c>
      <c r="M47" s="16">
        <v>88</v>
      </c>
      <c r="N47" s="16">
        <v>94</v>
      </c>
      <c r="O47" s="16">
        <f t="shared" si="2"/>
        <v>58.599999999999994</v>
      </c>
      <c r="P47" s="16" t="str">
        <f t="shared" si="3"/>
        <v>Fail</v>
      </c>
      <c r="Q47" s="16" t="str">
        <f t="shared" si="4"/>
        <v>C</v>
      </c>
      <c r="R47" s="16">
        <f t="shared" si="5"/>
        <v>2</v>
      </c>
      <c r="S47" s="16" t="str">
        <f t="shared" si="6"/>
        <v>AVERAGE</v>
      </c>
      <c r="T47" s="16"/>
      <c r="U47" s="17" t="str">
        <f t="shared" si="7"/>
        <v>NO</v>
      </c>
    </row>
    <row r="48" spans="1:21" x14ac:dyDescent="0.3">
      <c r="A48" s="12" t="str">
        <f t="shared" si="0"/>
        <v>ST047</v>
      </c>
      <c r="B48" s="13" t="s">
        <v>13</v>
      </c>
      <c r="C48" s="13">
        <v>22</v>
      </c>
      <c r="D48" s="13" t="s">
        <v>18</v>
      </c>
      <c r="E48" s="13">
        <v>7</v>
      </c>
      <c r="F48" s="13">
        <f t="shared" ca="1" si="1"/>
        <v>81</v>
      </c>
      <c r="G48" s="13">
        <v>5.4</v>
      </c>
      <c r="H48" s="13">
        <v>83</v>
      </c>
      <c r="I48" s="13">
        <v>28</v>
      </c>
      <c r="J48" s="13">
        <v>61</v>
      </c>
      <c r="K48" s="13">
        <v>51</v>
      </c>
      <c r="L48" s="13">
        <v>29</v>
      </c>
      <c r="M48" s="13">
        <v>78</v>
      </c>
      <c r="N48" s="13">
        <v>71</v>
      </c>
      <c r="O48" s="13">
        <f t="shared" si="2"/>
        <v>57.999999999999993</v>
      </c>
      <c r="P48" s="13" t="str">
        <f t="shared" si="3"/>
        <v>Fail</v>
      </c>
      <c r="Q48" s="13" t="str">
        <f t="shared" si="4"/>
        <v>C</v>
      </c>
      <c r="R48" s="13">
        <f t="shared" si="5"/>
        <v>1</v>
      </c>
      <c r="S48" s="13" t="str">
        <f t="shared" si="6"/>
        <v>AVERAGE</v>
      </c>
      <c r="T48" s="13"/>
      <c r="U48" s="14" t="str">
        <f t="shared" si="7"/>
        <v>NO</v>
      </c>
    </row>
    <row r="49" spans="1:21" x14ac:dyDescent="0.3">
      <c r="A49" s="15" t="str">
        <f t="shared" si="0"/>
        <v>ST048</v>
      </c>
      <c r="B49" s="16" t="s">
        <v>13</v>
      </c>
      <c r="C49" s="16">
        <v>24</v>
      </c>
      <c r="D49" s="16" t="s">
        <v>16</v>
      </c>
      <c r="E49" s="16">
        <v>7</v>
      </c>
      <c r="F49" s="16">
        <f t="shared" ca="1" si="1"/>
        <v>88</v>
      </c>
      <c r="G49" s="16">
        <v>5.7</v>
      </c>
      <c r="H49" s="16">
        <v>78</v>
      </c>
      <c r="I49" s="16">
        <v>50</v>
      </c>
      <c r="J49" s="16">
        <v>34</v>
      </c>
      <c r="K49" s="16">
        <v>53</v>
      </c>
      <c r="L49" s="16">
        <v>58</v>
      </c>
      <c r="M49" s="16">
        <v>100</v>
      </c>
      <c r="N49" s="16">
        <v>99</v>
      </c>
      <c r="O49" s="16">
        <f t="shared" si="2"/>
        <v>68.8</v>
      </c>
      <c r="P49" s="16" t="str">
        <f t="shared" si="3"/>
        <v>Fail</v>
      </c>
      <c r="Q49" s="16" t="str">
        <f t="shared" si="4"/>
        <v>B</v>
      </c>
      <c r="R49" s="16">
        <f t="shared" si="5"/>
        <v>1</v>
      </c>
      <c r="S49" s="16" t="str">
        <f t="shared" si="6"/>
        <v>GOOD</v>
      </c>
      <c r="T49" s="16"/>
      <c r="U49" s="17" t="str">
        <f t="shared" si="7"/>
        <v>NO</v>
      </c>
    </row>
    <row r="50" spans="1:21" x14ac:dyDescent="0.3">
      <c r="A50" s="12" t="str">
        <f t="shared" si="0"/>
        <v>ST049</v>
      </c>
      <c r="B50" s="13" t="s">
        <v>13</v>
      </c>
      <c r="C50" s="13">
        <v>21</v>
      </c>
      <c r="D50" s="13" t="s">
        <v>18</v>
      </c>
      <c r="E50" s="13">
        <v>8</v>
      </c>
      <c r="F50" s="13">
        <f t="shared" ca="1" si="1"/>
        <v>82</v>
      </c>
      <c r="G50" s="13">
        <v>1.5</v>
      </c>
      <c r="H50" s="13">
        <v>99</v>
      </c>
      <c r="I50" s="13">
        <v>18</v>
      </c>
      <c r="J50" s="13">
        <v>32</v>
      </c>
      <c r="K50" s="13">
        <v>36</v>
      </c>
      <c r="L50" s="13">
        <v>80</v>
      </c>
      <c r="M50" s="13">
        <v>66</v>
      </c>
      <c r="N50" s="13">
        <v>70</v>
      </c>
      <c r="O50" s="13">
        <f t="shared" si="2"/>
        <v>56.8</v>
      </c>
      <c r="P50" s="13" t="str">
        <f t="shared" si="3"/>
        <v>Fail</v>
      </c>
      <c r="Q50" s="13" t="str">
        <f t="shared" si="4"/>
        <v>C</v>
      </c>
      <c r="R50" s="13">
        <f t="shared" si="5"/>
        <v>2</v>
      </c>
      <c r="S50" s="13" t="str">
        <f t="shared" si="6"/>
        <v>AVERAGE</v>
      </c>
      <c r="T50" s="13"/>
      <c r="U50" s="14" t="str">
        <f t="shared" si="7"/>
        <v>NO</v>
      </c>
    </row>
    <row r="51" spans="1:21" x14ac:dyDescent="0.3">
      <c r="A51" s="15" t="str">
        <f t="shared" si="0"/>
        <v>ST050</v>
      </c>
      <c r="B51" s="16" t="s">
        <v>13</v>
      </c>
      <c r="C51" s="16">
        <v>23</v>
      </c>
      <c r="D51" s="16" t="s">
        <v>17</v>
      </c>
      <c r="E51" s="16">
        <v>8</v>
      </c>
      <c r="F51" s="16">
        <f t="shared" ca="1" si="1"/>
        <v>92</v>
      </c>
      <c r="G51" s="16">
        <v>2.8</v>
      </c>
      <c r="H51" s="16">
        <v>100</v>
      </c>
      <c r="I51" s="16">
        <v>41</v>
      </c>
      <c r="J51" s="16">
        <v>27</v>
      </c>
      <c r="K51" s="16">
        <v>66</v>
      </c>
      <c r="L51" s="16">
        <v>61</v>
      </c>
      <c r="M51" s="16">
        <v>90</v>
      </c>
      <c r="N51" s="16">
        <v>97</v>
      </c>
      <c r="O51" s="16">
        <f t="shared" si="2"/>
        <v>68.2</v>
      </c>
      <c r="P51" s="16" t="str">
        <f t="shared" si="3"/>
        <v>Fail</v>
      </c>
      <c r="Q51" s="16" t="str">
        <f t="shared" si="4"/>
        <v>B</v>
      </c>
      <c r="R51" s="16">
        <f t="shared" si="5"/>
        <v>1</v>
      </c>
      <c r="S51" s="16" t="str">
        <f t="shared" si="6"/>
        <v>GOOD</v>
      </c>
      <c r="T51" s="16"/>
      <c r="U51" s="17" t="str">
        <f t="shared" si="7"/>
        <v>NO</v>
      </c>
    </row>
    <row r="52" spans="1:21" x14ac:dyDescent="0.3">
      <c r="A52" s="12" t="str">
        <f t="shared" si="0"/>
        <v>ST051</v>
      </c>
      <c r="B52" s="13" t="s">
        <v>15</v>
      </c>
      <c r="C52" s="13">
        <v>21</v>
      </c>
      <c r="D52" s="13" t="s">
        <v>14</v>
      </c>
      <c r="E52" s="13">
        <v>7</v>
      </c>
      <c r="F52" s="13">
        <f t="shared" ca="1" si="1"/>
        <v>56</v>
      </c>
      <c r="G52" s="13">
        <v>2.4</v>
      </c>
      <c r="H52" s="13">
        <v>64</v>
      </c>
      <c r="I52" s="13">
        <v>29</v>
      </c>
      <c r="J52" s="13">
        <v>47</v>
      </c>
      <c r="K52" s="13">
        <v>94</v>
      </c>
      <c r="L52" s="13">
        <v>76</v>
      </c>
      <c r="M52" s="13">
        <v>83</v>
      </c>
      <c r="N52" s="13">
        <v>61</v>
      </c>
      <c r="O52" s="13">
        <f t="shared" si="2"/>
        <v>72.2</v>
      </c>
      <c r="P52" s="13" t="str">
        <f t="shared" si="3"/>
        <v>Pass</v>
      </c>
      <c r="Q52" s="13" t="str">
        <f t="shared" si="4"/>
        <v>B</v>
      </c>
      <c r="R52" s="13">
        <f t="shared" si="5"/>
        <v>0</v>
      </c>
      <c r="S52" s="13" t="str">
        <f t="shared" si="6"/>
        <v>GOOD</v>
      </c>
      <c r="T52" s="13"/>
      <c r="U52" s="14" t="str">
        <f t="shared" si="7"/>
        <v>YES</v>
      </c>
    </row>
    <row r="53" spans="1:21" x14ac:dyDescent="0.3">
      <c r="A53" s="15" t="str">
        <f t="shared" si="0"/>
        <v>ST052</v>
      </c>
      <c r="B53" s="16" t="s">
        <v>13</v>
      </c>
      <c r="C53" s="16">
        <v>22</v>
      </c>
      <c r="D53" s="16" t="s">
        <v>14</v>
      </c>
      <c r="E53" s="16">
        <v>7</v>
      </c>
      <c r="F53" s="16">
        <f t="shared" ca="1" si="1"/>
        <v>90</v>
      </c>
      <c r="G53" s="16">
        <v>3</v>
      </c>
      <c r="H53" s="16">
        <v>88</v>
      </c>
      <c r="I53" s="16">
        <v>43</v>
      </c>
      <c r="J53" s="16">
        <v>29</v>
      </c>
      <c r="K53" s="16">
        <v>72</v>
      </c>
      <c r="L53" s="16">
        <v>34</v>
      </c>
      <c r="M53" s="16">
        <v>51</v>
      </c>
      <c r="N53" s="16">
        <v>74</v>
      </c>
      <c r="O53" s="16">
        <f t="shared" si="2"/>
        <v>52</v>
      </c>
      <c r="P53" s="16" t="str">
        <f t="shared" si="3"/>
        <v>Fail</v>
      </c>
      <c r="Q53" s="16" t="str">
        <f t="shared" si="4"/>
        <v>C</v>
      </c>
      <c r="R53" s="16">
        <f t="shared" si="5"/>
        <v>2</v>
      </c>
      <c r="S53" s="16" t="str">
        <f t="shared" si="6"/>
        <v>AVERAGE</v>
      </c>
      <c r="T53" s="16"/>
      <c r="U53" s="17" t="str">
        <f t="shared" si="7"/>
        <v>NO</v>
      </c>
    </row>
    <row r="54" spans="1:21" x14ac:dyDescent="0.3">
      <c r="A54" s="12" t="str">
        <f t="shared" si="0"/>
        <v>ST053</v>
      </c>
      <c r="B54" s="13" t="s">
        <v>13</v>
      </c>
      <c r="C54" s="13">
        <v>24</v>
      </c>
      <c r="D54" s="13" t="s">
        <v>18</v>
      </c>
      <c r="E54" s="13">
        <v>7</v>
      </c>
      <c r="F54" s="13">
        <f t="shared" ca="1" si="1"/>
        <v>95</v>
      </c>
      <c r="G54" s="13">
        <v>4.0999999999999996</v>
      </c>
      <c r="H54" s="13">
        <v>90</v>
      </c>
      <c r="I54" s="13">
        <v>21</v>
      </c>
      <c r="J54" s="13">
        <v>75</v>
      </c>
      <c r="K54" s="13">
        <v>13</v>
      </c>
      <c r="L54" s="13">
        <v>26</v>
      </c>
      <c r="M54" s="13">
        <v>57</v>
      </c>
      <c r="N54" s="13">
        <v>41</v>
      </c>
      <c r="O54" s="13">
        <f t="shared" si="2"/>
        <v>42.4</v>
      </c>
      <c r="P54" s="13" t="str">
        <f t="shared" si="3"/>
        <v>Fail</v>
      </c>
      <c r="Q54" s="13" t="str">
        <f t="shared" si="4"/>
        <v>D</v>
      </c>
      <c r="R54" s="13">
        <f t="shared" si="5"/>
        <v>2</v>
      </c>
      <c r="S54" s="13" t="str">
        <f t="shared" si="6"/>
        <v>AVERAGE</v>
      </c>
      <c r="T54" s="13"/>
      <c r="U54" s="14" t="str">
        <f t="shared" si="7"/>
        <v>NO</v>
      </c>
    </row>
    <row r="55" spans="1:21" x14ac:dyDescent="0.3">
      <c r="A55" s="15" t="str">
        <f t="shared" si="0"/>
        <v>ST054</v>
      </c>
      <c r="B55" s="16" t="s">
        <v>13</v>
      </c>
      <c r="C55" s="16">
        <v>24</v>
      </c>
      <c r="D55" s="16" t="s">
        <v>18</v>
      </c>
      <c r="E55" s="16">
        <v>7</v>
      </c>
      <c r="F55" s="16">
        <f t="shared" ca="1" si="1"/>
        <v>56</v>
      </c>
      <c r="G55" s="16">
        <v>3.2</v>
      </c>
      <c r="H55" s="16">
        <v>66</v>
      </c>
      <c r="I55" s="16">
        <v>41</v>
      </c>
      <c r="J55" s="16">
        <v>15</v>
      </c>
      <c r="K55" s="16">
        <v>31</v>
      </c>
      <c r="L55" s="16">
        <v>49</v>
      </c>
      <c r="M55" s="16">
        <v>74</v>
      </c>
      <c r="N55" s="16">
        <v>81</v>
      </c>
      <c r="O55" s="16">
        <f t="shared" si="2"/>
        <v>50</v>
      </c>
      <c r="P55" s="16" t="str">
        <f t="shared" si="3"/>
        <v>Fail</v>
      </c>
      <c r="Q55" s="16" t="str">
        <f t="shared" si="4"/>
        <v>D</v>
      </c>
      <c r="R55" s="16">
        <f t="shared" si="5"/>
        <v>2</v>
      </c>
      <c r="S55" s="16" t="str">
        <f t="shared" si="6"/>
        <v>AVERAGE</v>
      </c>
      <c r="T55" s="16"/>
      <c r="U55" s="17" t="str">
        <f t="shared" si="7"/>
        <v>NO</v>
      </c>
    </row>
    <row r="56" spans="1:21" x14ac:dyDescent="0.3">
      <c r="A56" s="12" t="str">
        <f t="shared" si="0"/>
        <v>ST055</v>
      </c>
      <c r="B56" s="13" t="s">
        <v>13</v>
      </c>
      <c r="C56" s="13">
        <v>21</v>
      </c>
      <c r="D56" s="13" t="s">
        <v>14</v>
      </c>
      <c r="E56" s="13">
        <v>7</v>
      </c>
      <c r="F56" s="13">
        <f t="shared" ca="1" si="1"/>
        <v>56</v>
      </c>
      <c r="G56" s="13">
        <v>1.9</v>
      </c>
      <c r="H56" s="13">
        <v>61</v>
      </c>
      <c r="I56" s="13">
        <v>31</v>
      </c>
      <c r="J56" s="13">
        <v>31</v>
      </c>
      <c r="K56" s="13">
        <v>71</v>
      </c>
      <c r="L56" s="13">
        <v>43</v>
      </c>
      <c r="M56" s="13">
        <v>82</v>
      </c>
      <c r="N56" s="13">
        <v>53</v>
      </c>
      <c r="O56" s="13">
        <f t="shared" si="2"/>
        <v>56.000000000000007</v>
      </c>
      <c r="P56" s="13" t="str">
        <f t="shared" si="3"/>
        <v>Fail</v>
      </c>
      <c r="Q56" s="13" t="str">
        <f t="shared" si="4"/>
        <v>C</v>
      </c>
      <c r="R56" s="13">
        <f t="shared" si="5"/>
        <v>1</v>
      </c>
      <c r="S56" s="13" t="str">
        <f t="shared" si="6"/>
        <v>AVERAGE</v>
      </c>
      <c r="T56" s="13"/>
      <c r="U56" s="14" t="str">
        <f t="shared" si="7"/>
        <v>NO</v>
      </c>
    </row>
    <row r="57" spans="1:21" x14ac:dyDescent="0.3">
      <c r="A57" s="15" t="str">
        <f t="shared" si="0"/>
        <v>ST056</v>
      </c>
      <c r="B57" s="16" t="s">
        <v>13</v>
      </c>
      <c r="C57" s="16">
        <v>23</v>
      </c>
      <c r="D57" s="16" t="s">
        <v>16</v>
      </c>
      <c r="E57" s="16">
        <v>8</v>
      </c>
      <c r="F57" s="16">
        <f t="shared" ca="1" si="1"/>
        <v>51</v>
      </c>
      <c r="G57" s="16">
        <v>2.9</v>
      </c>
      <c r="H57" s="16">
        <v>69</v>
      </c>
      <c r="I57" s="16">
        <v>30</v>
      </c>
      <c r="J57" s="16">
        <v>55</v>
      </c>
      <c r="K57" s="16">
        <v>78</v>
      </c>
      <c r="L57" s="16">
        <v>70</v>
      </c>
      <c r="M57" s="16">
        <v>60</v>
      </c>
      <c r="N57" s="16">
        <v>96</v>
      </c>
      <c r="O57" s="16">
        <f t="shared" si="2"/>
        <v>71.8</v>
      </c>
      <c r="P57" s="16" t="str">
        <f t="shared" si="3"/>
        <v>Pass</v>
      </c>
      <c r="Q57" s="16" t="str">
        <f t="shared" si="4"/>
        <v>B</v>
      </c>
      <c r="R57" s="16">
        <f t="shared" si="5"/>
        <v>0</v>
      </c>
      <c r="S57" s="16" t="str">
        <f t="shared" si="6"/>
        <v>GOOD</v>
      </c>
      <c r="T57" s="16"/>
      <c r="U57" s="17" t="str">
        <f t="shared" si="7"/>
        <v>YES</v>
      </c>
    </row>
    <row r="58" spans="1:21" x14ac:dyDescent="0.3">
      <c r="A58" s="12" t="str">
        <f t="shared" si="0"/>
        <v>ST057</v>
      </c>
      <c r="B58" s="13" t="s">
        <v>15</v>
      </c>
      <c r="C58" s="13">
        <v>21</v>
      </c>
      <c r="D58" s="13" t="s">
        <v>17</v>
      </c>
      <c r="E58" s="13">
        <v>8</v>
      </c>
      <c r="F58" s="13">
        <f t="shared" ca="1" si="1"/>
        <v>67</v>
      </c>
      <c r="G58" s="13">
        <v>1.8</v>
      </c>
      <c r="H58" s="13">
        <v>67</v>
      </c>
      <c r="I58" s="13">
        <v>50</v>
      </c>
      <c r="J58" s="13">
        <v>29</v>
      </c>
      <c r="K58" s="13">
        <v>64</v>
      </c>
      <c r="L58" s="13">
        <v>47</v>
      </c>
      <c r="M58" s="13">
        <v>65</v>
      </c>
      <c r="N58" s="13">
        <v>99</v>
      </c>
      <c r="O58" s="13">
        <f t="shared" si="2"/>
        <v>60.8</v>
      </c>
      <c r="P58" s="13" t="str">
        <f t="shared" si="3"/>
        <v>Fail</v>
      </c>
      <c r="Q58" s="13" t="str">
        <f t="shared" si="4"/>
        <v>B</v>
      </c>
      <c r="R58" s="13">
        <f t="shared" si="5"/>
        <v>1</v>
      </c>
      <c r="S58" s="13" t="str">
        <f t="shared" si="6"/>
        <v>GOOD</v>
      </c>
      <c r="T58" s="13"/>
      <c r="U58" s="14" t="str">
        <f t="shared" si="7"/>
        <v>NO</v>
      </c>
    </row>
    <row r="59" spans="1:21" x14ac:dyDescent="0.3">
      <c r="A59" s="15" t="str">
        <f t="shared" si="0"/>
        <v>ST058</v>
      </c>
      <c r="B59" s="16" t="s">
        <v>15</v>
      </c>
      <c r="C59" s="16">
        <v>23</v>
      </c>
      <c r="D59" s="16" t="s">
        <v>14</v>
      </c>
      <c r="E59" s="16">
        <v>8</v>
      </c>
      <c r="F59" s="16">
        <f t="shared" ca="1" si="1"/>
        <v>66</v>
      </c>
      <c r="G59" s="16">
        <v>5.6</v>
      </c>
      <c r="H59" s="16">
        <v>51</v>
      </c>
      <c r="I59" s="16">
        <v>34</v>
      </c>
      <c r="J59" s="16">
        <v>93</v>
      </c>
      <c r="K59" s="16">
        <v>85</v>
      </c>
      <c r="L59" s="16">
        <v>74</v>
      </c>
      <c r="M59" s="16">
        <v>62</v>
      </c>
      <c r="N59" s="16">
        <v>48</v>
      </c>
      <c r="O59" s="16">
        <f t="shared" si="2"/>
        <v>72.399999999999991</v>
      </c>
      <c r="P59" s="16" t="str">
        <f t="shared" si="3"/>
        <v>Pass</v>
      </c>
      <c r="Q59" s="16" t="str">
        <f t="shared" si="4"/>
        <v>B</v>
      </c>
      <c r="R59" s="16">
        <f t="shared" si="5"/>
        <v>0</v>
      </c>
      <c r="S59" s="16" t="str">
        <f t="shared" si="6"/>
        <v>GOOD</v>
      </c>
      <c r="T59" s="16"/>
      <c r="U59" s="17" t="str">
        <f t="shared" si="7"/>
        <v>YES</v>
      </c>
    </row>
    <row r="60" spans="1:21" x14ac:dyDescent="0.3">
      <c r="A60" s="12" t="str">
        <f t="shared" si="0"/>
        <v>ST059</v>
      </c>
      <c r="B60" s="13" t="s">
        <v>15</v>
      </c>
      <c r="C60" s="13">
        <v>23</v>
      </c>
      <c r="D60" s="13" t="s">
        <v>17</v>
      </c>
      <c r="E60" s="13">
        <v>7</v>
      </c>
      <c r="F60" s="13">
        <f t="shared" ca="1" si="1"/>
        <v>58</v>
      </c>
      <c r="G60" s="13">
        <v>5.5</v>
      </c>
      <c r="H60" s="13">
        <v>51</v>
      </c>
      <c r="I60" s="13">
        <v>49</v>
      </c>
      <c r="J60" s="13">
        <v>46</v>
      </c>
      <c r="K60" s="13">
        <v>30</v>
      </c>
      <c r="L60" s="13">
        <v>47</v>
      </c>
      <c r="M60" s="13">
        <v>53</v>
      </c>
      <c r="N60" s="13">
        <v>86</v>
      </c>
      <c r="O60" s="13">
        <f t="shared" si="2"/>
        <v>52.400000000000006</v>
      </c>
      <c r="P60" s="13" t="str">
        <f t="shared" si="3"/>
        <v>Fail</v>
      </c>
      <c r="Q60" s="13" t="str">
        <f t="shared" si="4"/>
        <v>C</v>
      </c>
      <c r="R60" s="13">
        <f t="shared" si="5"/>
        <v>1</v>
      </c>
      <c r="S60" s="13" t="str">
        <f t="shared" si="6"/>
        <v>AVERAGE</v>
      </c>
      <c r="T60" s="13"/>
      <c r="U60" s="14" t="str">
        <f t="shared" si="7"/>
        <v>NO</v>
      </c>
    </row>
    <row r="61" spans="1:21" x14ac:dyDescent="0.3">
      <c r="A61" s="15" t="str">
        <f t="shared" si="0"/>
        <v>ST060</v>
      </c>
      <c r="B61" s="16" t="s">
        <v>13</v>
      </c>
      <c r="C61" s="16">
        <v>24</v>
      </c>
      <c r="D61" s="16" t="s">
        <v>17</v>
      </c>
      <c r="E61" s="16">
        <v>8</v>
      </c>
      <c r="F61" s="16">
        <f t="shared" ca="1" si="1"/>
        <v>67</v>
      </c>
      <c r="G61" s="16">
        <v>3.7</v>
      </c>
      <c r="H61" s="16">
        <v>54</v>
      </c>
      <c r="I61" s="16">
        <v>38</v>
      </c>
      <c r="J61" s="16">
        <v>53</v>
      </c>
      <c r="K61" s="16">
        <v>89</v>
      </c>
      <c r="L61" s="16">
        <v>53</v>
      </c>
      <c r="M61" s="16">
        <v>90</v>
      </c>
      <c r="N61" s="16">
        <v>66</v>
      </c>
      <c r="O61" s="16">
        <f t="shared" si="2"/>
        <v>70.199999999999989</v>
      </c>
      <c r="P61" s="16" t="str">
        <f t="shared" si="3"/>
        <v>Pass</v>
      </c>
      <c r="Q61" s="16" t="str">
        <f t="shared" si="4"/>
        <v>B</v>
      </c>
      <c r="R61" s="16">
        <f t="shared" si="5"/>
        <v>0</v>
      </c>
      <c r="S61" s="16" t="str">
        <f t="shared" si="6"/>
        <v>GOOD</v>
      </c>
      <c r="T61" s="16"/>
      <c r="U61" s="17" t="str">
        <f t="shared" si="7"/>
        <v>YES</v>
      </c>
    </row>
    <row r="62" spans="1:21" x14ac:dyDescent="0.3">
      <c r="A62" s="12" t="str">
        <f t="shared" si="0"/>
        <v>ST061</v>
      </c>
      <c r="B62" s="13" t="s">
        <v>15</v>
      </c>
      <c r="C62" s="13">
        <v>21</v>
      </c>
      <c r="D62" s="13" t="s">
        <v>16</v>
      </c>
      <c r="E62" s="13">
        <v>7</v>
      </c>
      <c r="F62" s="13">
        <f t="shared" ca="1" si="1"/>
        <v>70</v>
      </c>
      <c r="G62" s="13">
        <v>2.5</v>
      </c>
      <c r="H62" s="13">
        <v>61</v>
      </c>
      <c r="I62" s="13">
        <v>39</v>
      </c>
      <c r="J62" s="13">
        <v>11</v>
      </c>
      <c r="K62" s="13">
        <v>82</v>
      </c>
      <c r="L62" s="13">
        <v>67</v>
      </c>
      <c r="M62" s="13">
        <v>72</v>
      </c>
      <c r="N62" s="13">
        <v>30</v>
      </c>
      <c r="O62" s="13">
        <f t="shared" si="2"/>
        <v>52.400000000000006</v>
      </c>
      <c r="P62" s="13" t="str">
        <f t="shared" si="3"/>
        <v>Fail</v>
      </c>
      <c r="Q62" s="13" t="str">
        <f t="shared" si="4"/>
        <v>C</v>
      </c>
      <c r="R62" s="13">
        <f t="shared" si="5"/>
        <v>2</v>
      </c>
      <c r="S62" s="13" t="str">
        <f t="shared" si="6"/>
        <v>AVERAGE</v>
      </c>
      <c r="T62" s="13"/>
      <c r="U62" s="14" t="str">
        <f t="shared" si="7"/>
        <v>NO</v>
      </c>
    </row>
    <row r="63" spans="1:21" x14ac:dyDescent="0.3">
      <c r="A63" s="15" t="str">
        <f t="shared" si="0"/>
        <v>ST062</v>
      </c>
      <c r="B63" s="16" t="s">
        <v>13</v>
      </c>
      <c r="C63" s="16">
        <v>23</v>
      </c>
      <c r="D63" s="16" t="s">
        <v>17</v>
      </c>
      <c r="E63" s="16">
        <v>8</v>
      </c>
      <c r="F63" s="16">
        <f t="shared" ca="1" si="1"/>
        <v>64</v>
      </c>
      <c r="G63" s="16">
        <v>4.4000000000000004</v>
      </c>
      <c r="H63" s="16">
        <v>59</v>
      </c>
      <c r="I63" s="16">
        <v>40</v>
      </c>
      <c r="J63" s="16">
        <v>62</v>
      </c>
      <c r="K63" s="16">
        <v>47</v>
      </c>
      <c r="L63" s="16">
        <v>65</v>
      </c>
      <c r="M63" s="16">
        <v>81</v>
      </c>
      <c r="N63" s="16">
        <v>79</v>
      </c>
      <c r="O63" s="16">
        <f t="shared" si="2"/>
        <v>66.8</v>
      </c>
      <c r="P63" s="16" t="str">
        <f t="shared" si="3"/>
        <v>Pass</v>
      </c>
      <c r="Q63" s="16" t="str">
        <f t="shared" si="4"/>
        <v>B</v>
      </c>
      <c r="R63" s="16">
        <f t="shared" si="5"/>
        <v>0</v>
      </c>
      <c r="S63" s="16" t="str">
        <f t="shared" si="6"/>
        <v>GOOD</v>
      </c>
      <c r="T63" s="16"/>
      <c r="U63" s="17" t="str">
        <f t="shared" si="7"/>
        <v>YES</v>
      </c>
    </row>
    <row r="64" spans="1:21" x14ac:dyDescent="0.3">
      <c r="A64" s="12" t="str">
        <f t="shared" si="0"/>
        <v>ST063</v>
      </c>
      <c r="B64" s="13" t="s">
        <v>15</v>
      </c>
      <c r="C64" s="13">
        <v>23</v>
      </c>
      <c r="D64" s="13" t="s">
        <v>17</v>
      </c>
      <c r="E64" s="13">
        <v>8</v>
      </c>
      <c r="F64" s="13">
        <f t="shared" ca="1" si="1"/>
        <v>76</v>
      </c>
      <c r="G64" s="13">
        <v>3.2</v>
      </c>
      <c r="H64" s="13">
        <v>97</v>
      </c>
      <c r="I64" s="13">
        <v>37</v>
      </c>
      <c r="J64" s="13">
        <v>71</v>
      </c>
      <c r="K64" s="13">
        <v>21</v>
      </c>
      <c r="L64" s="13">
        <v>29</v>
      </c>
      <c r="M64" s="13">
        <v>82</v>
      </c>
      <c r="N64" s="13">
        <v>50</v>
      </c>
      <c r="O64" s="13">
        <f t="shared" si="2"/>
        <v>50.6</v>
      </c>
      <c r="P64" s="13" t="str">
        <f t="shared" si="3"/>
        <v>Fail</v>
      </c>
      <c r="Q64" s="13" t="str">
        <f t="shared" si="4"/>
        <v>C</v>
      </c>
      <c r="R64" s="13">
        <f t="shared" si="5"/>
        <v>2</v>
      </c>
      <c r="S64" s="13" t="str">
        <f t="shared" si="6"/>
        <v>AVERAGE</v>
      </c>
      <c r="T64" s="13"/>
      <c r="U64" s="14" t="str">
        <f t="shared" si="7"/>
        <v>NO</v>
      </c>
    </row>
    <row r="65" spans="1:21" x14ac:dyDescent="0.3">
      <c r="A65" s="15" t="str">
        <f t="shared" si="0"/>
        <v>ST064</v>
      </c>
      <c r="B65" s="16" t="s">
        <v>15</v>
      </c>
      <c r="C65" s="16">
        <v>23</v>
      </c>
      <c r="D65" s="16" t="s">
        <v>18</v>
      </c>
      <c r="E65" s="16">
        <v>8</v>
      </c>
      <c r="F65" s="16">
        <f t="shared" ca="1" si="1"/>
        <v>75</v>
      </c>
      <c r="G65" s="16">
        <v>1.2</v>
      </c>
      <c r="H65" s="16">
        <v>96</v>
      </c>
      <c r="I65" s="16">
        <v>35</v>
      </c>
      <c r="J65" s="16">
        <v>88</v>
      </c>
      <c r="K65" s="16">
        <v>26</v>
      </c>
      <c r="L65" s="16">
        <v>30</v>
      </c>
      <c r="M65" s="16">
        <v>51</v>
      </c>
      <c r="N65" s="16">
        <v>99</v>
      </c>
      <c r="O65" s="16">
        <f t="shared" si="2"/>
        <v>58.8</v>
      </c>
      <c r="P65" s="16" t="str">
        <f t="shared" si="3"/>
        <v>Fail</v>
      </c>
      <c r="Q65" s="16" t="str">
        <f t="shared" si="4"/>
        <v>C</v>
      </c>
      <c r="R65" s="16">
        <f t="shared" si="5"/>
        <v>2</v>
      </c>
      <c r="S65" s="16" t="str">
        <f t="shared" si="6"/>
        <v>AVERAGE</v>
      </c>
      <c r="T65" s="16"/>
      <c r="U65" s="17" t="str">
        <f t="shared" si="7"/>
        <v>NO</v>
      </c>
    </row>
    <row r="66" spans="1:21" x14ac:dyDescent="0.3">
      <c r="A66" s="12" t="str">
        <f t="shared" si="0"/>
        <v>ST065</v>
      </c>
      <c r="B66" s="13" t="s">
        <v>13</v>
      </c>
      <c r="C66" s="13">
        <v>21</v>
      </c>
      <c r="D66" s="13" t="s">
        <v>14</v>
      </c>
      <c r="E66" s="13">
        <v>7</v>
      </c>
      <c r="F66" s="13">
        <f t="shared" ca="1" si="1"/>
        <v>20</v>
      </c>
      <c r="G66" s="13">
        <v>4.0999999999999996</v>
      </c>
      <c r="H66" s="13">
        <v>50</v>
      </c>
      <c r="I66" s="13">
        <v>18</v>
      </c>
      <c r="J66" s="13">
        <v>71</v>
      </c>
      <c r="K66" s="13">
        <v>89</v>
      </c>
      <c r="L66" s="13">
        <v>79</v>
      </c>
      <c r="M66" s="13">
        <v>80</v>
      </c>
      <c r="N66" s="13">
        <v>32</v>
      </c>
      <c r="O66" s="13">
        <f t="shared" si="2"/>
        <v>70.199999999999989</v>
      </c>
      <c r="P66" s="13" t="str">
        <f t="shared" si="3"/>
        <v>Fail</v>
      </c>
      <c r="Q66" s="13" t="str">
        <f t="shared" si="4"/>
        <v>B</v>
      </c>
      <c r="R66" s="13">
        <f t="shared" si="5"/>
        <v>1</v>
      </c>
      <c r="S66" s="13" t="str">
        <f t="shared" si="6"/>
        <v>GOOD</v>
      </c>
      <c r="T66" s="13"/>
      <c r="U66" s="14" t="str">
        <f t="shared" si="7"/>
        <v>NO</v>
      </c>
    </row>
    <row r="67" spans="1:21" x14ac:dyDescent="0.3">
      <c r="A67" s="15" t="str">
        <f t="shared" ref="A67:A130" si="8">"ST"&amp;TEXT(ROW()-1,"000")</f>
        <v>ST066</v>
      </c>
      <c r="B67" s="16" t="s">
        <v>15</v>
      </c>
      <c r="C67" s="16">
        <v>23</v>
      </c>
      <c r="D67" s="16" t="s">
        <v>14</v>
      </c>
      <c r="E67" s="16">
        <v>8</v>
      </c>
      <c r="F67" s="16">
        <f t="shared" ref="F67:F130" ca="1" si="9">IF(H67&gt;70,RANDBETWEEN(75,95),IF(H67&gt;50,RANDBETWEEN(40,75),RANDBETWEEN(20,40)))</f>
        <v>79</v>
      </c>
      <c r="G67" s="16">
        <v>5.6</v>
      </c>
      <c r="H67" s="16">
        <v>95</v>
      </c>
      <c r="I67" s="16">
        <v>32</v>
      </c>
      <c r="J67" s="16">
        <v>43</v>
      </c>
      <c r="K67" s="16">
        <v>14</v>
      </c>
      <c r="L67" s="16">
        <v>54</v>
      </c>
      <c r="M67" s="16">
        <v>83</v>
      </c>
      <c r="N67" s="16">
        <v>100</v>
      </c>
      <c r="O67" s="16">
        <f t="shared" ref="O67:O130" si="10">SUM(J67:N67)/500*100</f>
        <v>58.8</v>
      </c>
      <c r="P67" s="16" t="str">
        <f t="shared" ref="P67:P130" si="11">IF(AND(J67&gt;=40,K67&gt;=40,L67&gt;=40,M67&gt;=40,N67&gt;=40),"Pass","Fail")</f>
        <v>Fail</v>
      </c>
      <c r="Q67" s="16" t="str">
        <f t="shared" ref="Q67:Q130" si="12">IF(O67&gt;90,"O",IF(O67&gt;80,"A",IF(O67&gt;60,"B",IF(O67&gt;50,"C","D"))))</f>
        <v>C</v>
      </c>
      <c r="R67" s="16">
        <f t="shared" ref="R67:R130" si="13">COUNTIF(J67:N67,"&lt;40")</f>
        <v>1</v>
      </c>
      <c r="S67" s="16" t="str">
        <f t="shared" ref="S67:S130" si="14">IF(O67&gt;=80,"EXCELLENT",IF(O67&gt;=60,"GOOD",IF(O67&gt;=40,"AVERAGE",IF(O67&lt;40,"POOR"))))</f>
        <v>AVERAGE</v>
      </c>
      <c r="T67" s="16"/>
      <c r="U67" s="17" t="str">
        <f t="shared" ref="U67:U130" si="15">IF(R67=0,"YES", "NO")</f>
        <v>NO</v>
      </c>
    </row>
    <row r="68" spans="1:21" x14ac:dyDescent="0.3">
      <c r="A68" s="12" t="str">
        <f t="shared" si="8"/>
        <v>ST067</v>
      </c>
      <c r="B68" s="13" t="s">
        <v>15</v>
      </c>
      <c r="C68" s="13">
        <v>22</v>
      </c>
      <c r="D68" s="13" t="s">
        <v>18</v>
      </c>
      <c r="E68" s="13">
        <v>8</v>
      </c>
      <c r="F68" s="13">
        <f t="shared" ca="1" si="9"/>
        <v>93</v>
      </c>
      <c r="G68" s="13">
        <v>1.3</v>
      </c>
      <c r="H68" s="13">
        <v>71</v>
      </c>
      <c r="I68" s="13">
        <v>28</v>
      </c>
      <c r="J68" s="13">
        <v>21</v>
      </c>
      <c r="K68" s="13">
        <v>63</v>
      </c>
      <c r="L68" s="13">
        <v>59</v>
      </c>
      <c r="M68" s="13">
        <v>72</v>
      </c>
      <c r="N68" s="13">
        <v>55</v>
      </c>
      <c r="O68" s="13">
        <f t="shared" si="10"/>
        <v>54</v>
      </c>
      <c r="P68" s="13" t="str">
        <f t="shared" si="11"/>
        <v>Fail</v>
      </c>
      <c r="Q68" s="13" t="str">
        <f t="shared" si="12"/>
        <v>C</v>
      </c>
      <c r="R68" s="13">
        <f t="shared" si="13"/>
        <v>1</v>
      </c>
      <c r="S68" s="13" t="str">
        <f t="shared" si="14"/>
        <v>AVERAGE</v>
      </c>
      <c r="T68" s="13"/>
      <c r="U68" s="14" t="str">
        <f t="shared" si="15"/>
        <v>NO</v>
      </c>
    </row>
    <row r="69" spans="1:21" x14ac:dyDescent="0.3">
      <c r="A69" s="15" t="str">
        <f t="shared" si="8"/>
        <v>ST068</v>
      </c>
      <c r="B69" s="16" t="s">
        <v>13</v>
      </c>
      <c r="C69" s="16">
        <v>22</v>
      </c>
      <c r="D69" s="16" t="s">
        <v>16</v>
      </c>
      <c r="E69" s="16">
        <v>8</v>
      </c>
      <c r="F69" s="16">
        <f t="shared" ca="1" si="9"/>
        <v>85</v>
      </c>
      <c r="G69" s="16">
        <v>2.6</v>
      </c>
      <c r="H69" s="16">
        <v>75</v>
      </c>
      <c r="I69" s="16">
        <v>44</v>
      </c>
      <c r="J69" s="16">
        <v>59</v>
      </c>
      <c r="K69" s="16">
        <v>60</v>
      </c>
      <c r="L69" s="16">
        <v>53</v>
      </c>
      <c r="M69" s="16">
        <v>70</v>
      </c>
      <c r="N69" s="16">
        <v>66</v>
      </c>
      <c r="O69" s="16">
        <f t="shared" si="10"/>
        <v>61.6</v>
      </c>
      <c r="P69" s="16" t="str">
        <f t="shared" si="11"/>
        <v>Pass</v>
      </c>
      <c r="Q69" s="16" t="str">
        <f t="shared" si="12"/>
        <v>B</v>
      </c>
      <c r="R69" s="16">
        <f t="shared" si="13"/>
        <v>0</v>
      </c>
      <c r="S69" s="16" t="str">
        <f t="shared" si="14"/>
        <v>GOOD</v>
      </c>
      <c r="T69" s="16"/>
      <c r="U69" s="17" t="str">
        <f t="shared" si="15"/>
        <v>YES</v>
      </c>
    </row>
    <row r="70" spans="1:21" x14ac:dyDescent="0.3">
      <c r="A70" s="12" t="str">
        <f t="shared" si="8"/>
        <v>ST069</v>
      </c>
      <c r="B70" s="13" t="s">
        <v>15</v>
      </c>
      <c r="C70" s="13">
        <v>21</v>
      </c>
      <c r="D70" s="13" t="s">
        <v>17</v>
      </c>
      <c r="E70" s="13">
        <v>8</v>
      </c>
      <c r="F70" s="13">
        <f t="shared" ca="1" si="9"/>
        <v>49</v>
      </c>
      <c r="G70" s="13">
        <v>2.4</v>
      </c>
      <c r="H70" s="13">
        <v>60</v>
      </c>
      <c r="I70" s="13">
        <v>33</v>
      </c>
      <c r="J70" s="13">
        <v>60</v>
      </c>
      <c r="K70" s="13">
        <v>37</v>
      </c>
      <c r="L70" s="13">
        <v>58</v>
      </c>
      <c r="M70" s="13">
        <v>95</v>
      </c>
      <c r="N70" s="13">
        <v>32</v>
      </c>
      <c r="O70" s="13">
        <f t="shared" si="10"/>
        <v>56.399999999999991</v>
      </c>
      <c r="P70" s="13" t="str">
        <f t="shared" si="11"/>
        <v>Fail</v>
      </c>
      <c r="Q70" s="13" t="str">
        <f t="shared" si="12"/>
        <v>C</v>
      </c>
      <c r="R70" s="13">
        <f t="shared" si="13"/>
        <v>2</v>
      </c>
      <c r="S70" s="13" t="str">
        <f t="shared" si="14"/>
        <v>AVERAGE</v>
      </c>
      <c r="T70" s="13"/>
      <c r="U70" s="14" t="str">
        <f t="shared" si="15"/>
        <v>NO</v>
      </c>
    </row>
    <row r="71" spans="1:21" x14ac:dyDescent="0.3">
      <c r="A71" s="15" t="str">
        <f t="shared" si="8"/>
        <v>ST070</v>
      </c>
      <c r="B71" s="16" t="s">
        <v>15</v>
      </c>
      <c r="C71" s="16">
        <v>24</v>
      </c>
      <c r="D71" s="16" t="s">
        <v>14</v>
      </c>
      <c r="E71" s="16">
        <v>7</v>
      </c>
      <c r="F71" s="16">
        <f t="shared" ca="1" si="9"/>
        <v>77</v>
      </c>
      <c r="G71" s="16">
        <v>1.9</v>
      </c>
      <c r="H71" s="16">
        <v>88</v>
      </c>
      <c r="I71" s="16">
        <v>40</v>
      </c>
      <c r="J71" s="16">
        <v>67</v>
      </c>
      <c r="K71" s="16">
        <v>76</v>
      </c>
      <c r="L71" s="16">
        <v>77</v>
      </c>
      <c r="M71" s="16">
        <v>86</v>
      </c>
      <c r="N71" s="16">
        <v>97</v>
      </c>
      <c r="O71" s="16">
        <f t="shared" si="10"/>
        <v>80.600000000000009</v>
      </c>
      <c r="P71" s="16" t="str">
        <f t="shared" si="11"/>
        <v>Pass</v>
      </c>
      <c r="Q71" s="16" t="str">
        <f t="shared" si="12"/>
        <v>A</v>
      </c>
      <c r="R71" s="16">
        <f t="shared" si="13"/>
        <v>0</v>
      </c>
      <c r="S71" s="16" t="str">
        <f t="shared" si="14"/>
        <v>EXCELLENT</v>
      </c>
      <c r="T71" s="16"/>
      <c r="U71" s="17" t="str">
        <f t="shared" si="15"/>
        <v>YES</v>
      </c>
    </row>
    <row r="72" spans="1:21" x14ac:dyDescent="0.3">
      <c r="A72" s="12" t="str">
        <f t="shared" si="8"/>
        <v>ST071</v>
      </c>
      <c r="B72" s="13" t="s">
        <v>13</v>
      </c>
      <c r="C72" s="13">
        <v>24</v>
      </c>
      <c r="D72" s="13" t="s">
        <v>17</v>
      </c>
      <c r="E72" s="13">
        <v>7</v>
      </c>
      <c r="F72" s="13">
        <f t="shared" ca="1" si="9"/>
        <v>32</v>
      </c>
      <c r="G72" s="13">
        <v>2.1</v>
      </c>
      <c r="H72" s="13">
        <v>50</v>
      </c>
      <c r="I72" s="13">
        <v>26</v>
      </c>
      <c r="J72" s="13">
        <v>68</v>
      </c>
      <c r="K72" s="13">
        <v>85</v>
      </c>
      <c r="L72" s="13">
        <v>22</v>
      </c>
      <c r="M72" s="13">
        <v>66</v>
      </c>
      <c r="N72" s="13">
        <v>55</v>
      </c>
      <c r="O72" s="13">
        <f t="shared" si="10"/>
        <v>59.199999999999996</v>
      </c>
      <c r="P72" s="13" t="str">
        <f t="shared" si="11"/>
        <v>Fail</v>
      </c>
      <c r="Q72" s="13" t="str">
        <f t="shared" si="12"/>
        <v>C</v>
      </c>
      <c r="R72" s="13">
        <f t="shared" si="13"/>
        <v>1</v>
      </c>
      <c r="S72" s="13" t="str">
        <f t="shared" si="14"/>
        <v>AVERAGE</v>
      </c>
      <c r="T72" s="13"/>
      <c r="U72" s="14" t="str">
        <f t="shared" si="15"/>
        <v>NO</v>
      </c>
    </row>
    <row r="73" spans="1:21" x14ac:dyDescent="0.3">
      <c r="A73" s="15" t="str">
        <f t="shared" si="8"/>
        <v>ST072</v>
      </c>
      <c r="B73" s="16" t="s">
        <v>13</v>
      </c>
      <c r="C73" s="16">
        <v>23</v>
      </c>
      <c r="D73" s="16" t="s">
        <v>17</v>
      </c>
      <c r="E73" s="16">
        <v>8</v>
      </c>
      <c r="F73" s="16">
        <f t="shared" ca="1" si="9"/>
        <v>79</v>
      </c>
      <c r="G73" s="16">
        <v>2.9</v>
      </c>
      <c r="H73" s="16">
        <v>88</v>
      </c>
      <c r="I73" s="16">
        <v>44</v>
      </c>
      <c r="J73" s="16">
        <v>57</v>
      </c>
      <c r="K73" s="16">
        <v>67</v>
      </c>
      <c r="L73" s="16">
        <v>26</v>
      </c>
      <c r="M73" s="16">
        <v>75</v>
      </c>
      <c r="N73" s="16">
        <v>73</v>
      </c>
      <c r="O73" s="16">
        <f t="shared" si="10"/>
        <v>59.599999999999994</v>
      </c>
      <c r="P73" s="16" t="str">
        <f t="shared" si="11"/>
        <v>Fail</v>
      </c>
      <c r="Q73" s="16" t="str">
        <f t="shared" si="12"/>
        <v>C</v>
      </c>
      <c r="R73" s="16">
        <f t="shared" si="13"/>
        <v>1</v>
      </c>
      <c r="S73" s="16" t="str">
        <f t="shared" si="14"/>
        <v>AVERAGE</v>
      </c>
      <c r="T73" s="16"/>
      <c r="U73" s="17" t="str">
        <f t="shared" si="15"/>
        <v>NO</v>
      </c>
    </row>
    <row r="74" spans="1:21" x14ac:dyDescent="0.3">
      <c r="A74" s="12" t="str">
        <f t="shared" si="8"/>
        <v>ST073</v>
      </c>
      <c r="B74" s="13" t="s">
        <v>13</v>
      </c>
      <c r="C74" s="13">
        <v>22</v>
      </c>
      <c r="D74" s="13" t="s">
        <v>18</v>
      </c>
      <c r="E74" s="13">
        <v>7</v>
      </c>
      <c r="F74" s="13">
        <f t="shared" ca="1" si="9"/>
        <v>94</v>
      </c>
      <c r="G74" s="13">
        <v>4.3</v>
      </c>
      <c r="H74" s="13">
        <v>76</v>
      </c>
      <c r="I74" s="13">
        <v>44</v>
      </c>
      <c r="J74" s="13">
        <v>88</v>
      </c>
      <c r="K74" s="13">
        <v>66</v>
      </c>
      <c r="L74" s="13">
        <v>89</v>
      </c>
      <c r="M74" s="13">
        <v>84</v>
      </c>
      <c r="N74" s="13">
        <v>35</v>
      </c>
      <c r="O74" s="13">
        <f t="shared" si="10"/>
        <v>72.399999999999991</v>
      </c>
      <c r="P74" s="13" t="str">
        <f t="shared" si="11"/>
        <v>Fail</v>
      </c>
      <c r="Q74" s="13" t="str">
        <f t="shared" si="12"/>
        <v>B</v>
      </c>
      <c r="R74" s="13">
        <f t="shared" si="13"/>
        <v>1</v>
      </c>
      <c r="S74" s="13" t="str">
        <f t="shared" si="14"/>
        <v>GOOD</v>
      </c>
      <c r="T74" s="13"/>
      <c r="U74" s="14" t="str">
        <f t="shared" si="15"/>
        <v>NO</v>
      </c>
    </row>
    <row r="75" spans="1:21" x14ac:dyDescent="0.3">
      <c r="A75" s="15" t="str">
        <f t="shared" si="8"/>
        <v>ST074</v>
      </c>
      <c r="B75" s="16" t="s">
        <v>15</v>
      </c>
      <c r="C75" s="16">
        <v>22</v>
      </c>
      <c r="D75" s="16" t="s">
        <v>16</v>
      </c>
      <c r="E75" s="16">
        <v>8</v>
      </c>
      <c r="F75" s="16">
        <f t="shared" ca="1" si="9"/>
        <v>88</v>
      </c>
      <c r="G75" s="16">
        <v>1.5</v>
      </c>
      <c r="H75" s="16">
        <v>78</v>
      </c>
      <c r="I75" s="16">
        <v>20</v>
      </c>
      <c r="J75" s="16">
        <v>20</v>
      </c>
      <c r="K75" s="16">
        <v>62</v>
      </c>
      <c r="L75" s="16">
        <v>34</v>
      </c>
      <c r="M75" s="16">
        <v>100</v>
      </c>
      <c r="N75" s="16">
        <v>47</v>
      </c>
      <c r="O75" s="16">
        <f t="shared" si="10"/>
        <v>52.6</v>
      </c>
      <c r="P75" s="16" t="str">
        <f t="shared" si="11"/>
        <v>Fail</v>
      </c>
      <c r="Q75" s="16" t="str">
        <f t="shared" si="12"/>
        <v>C</v>
      </c>
      <c r="R75" s="16">
        <f t="shared" si="13"/>
        <v>2</v>
      </c>
      <c r="S75" s="16" t="str">
        <f t="shared" si="14"/>
        <v>AVERAGE</v>
      </c>
      <c r="T75" s="16"/>
      <c r="U75" s="17" t="str">
        <f t="shared" si="15"/>
        <v>NO</v>
      </c>
    </row>
    <row r="76" spans="1:21" x14ac:dyDescent="0.3">
      <c r="A76" s="12" t="str">
        <f t="shared" si="8"/>
        <v>ST075</v>
      </c>
      <c r="B76" s="13" t="s">
        <v>15</v>
      </c>
      <c r="C76" s="13">
        <v>23</v>
      </c>
      <c r="D76" s="13" t="s">
        <v>14</v>
      </c>
      <c r="E76" s="13">
        <v>8</v>
      </c>
      <c r="F76" s="13">
        <f t="shared" ca="1" si="9"/>
        <v>95</v>
      </c>
      <c r="G76" s="13">
        <v>3.5</v>
      </c>
      <c r="H76" s="13">
        <v>94</v>
      </c>
      <c r="I76" s="13">
        <v>33</v>
      </c>
      <c r="J76" s="13">
        <v>55</v>
      </c>
      <c r="K76" s="13">
        <v>15</v>
      </c>
      <c r="L76" s="13">
        <v>44</v>
      </c>
      <c r="M76" s="13">
        <v>50</v>
      </c>
      <c r="N76" s="13">
        <v>32</v>
      </c>
      <c r="O76" s="13">
        <f t="shared" si="10"/>
        <v>39.200000000000003</v>
      </c>
      <c r="P76" s="13" t="str">
        <f t="shared" si="11"/>
        <v>Fail</v>
      </c>
      <c r="Q76" s="13" t="str">
        <f t="shared" si="12"/>
        <v>D</v>
      </c>
      <c r="R76" s="13">
        <f t="shared" si="13"/>
        <v>2</v>
      </c>
      <c r="S76" s="13" t="str">
        <f t="shared" si="14"/>
        <v>POOR</v>
      </c>
      <c r="T76" s="13"/>
      <c r="U76" s="14" t="str">
        <f t="shared" si="15"/>
        <v>NO</v>
      </c>
    </row>
    <row r="77" spans="1:21" x14ac:dyDescent="0.3">
      <c r="A77" s="15" t="str">
        <f t="shared" si="8"/>
        <v>ST076</v>
      </c>
      <c r="B77" s="16" t="s">
        <v>15</v>
      </c>
      <c r="C77" s="16">
        <v>21</v>
      </c>
      <c r="D77" s="16" t="s">
        <v>17</v>
      </c>
      <c r="E77" s="16">
        <v>7</v>
      </c>
      <c r="F77" s="16">
        <f t="shared" ca="1" si="9"/>
        <v>64</v>
      </c>
      <c r="G77" s="16">
        <v>3.4</v>
      </c>
      <c r="H77" s="16">
        <v>65</v>
      </c>
      <c r="I77" s="16">
        <v>29</v>
      </c>
      <c r="J77" s="16">
        <v>55</v>
      </c>
      <c r="K77" s="16">
        <v>24</v>
      </c>
      <c r="L77" s="16">
        <v>45</v>
      </c>
      <c r="M77" s="16">
        <v>83</v>
      </c>
      <c r="N77" s="16">
        <v>50</v>
      </c>
      <c r="O77" s="16">
        <f t="shared" si="10"/>
        <v>51.4</v>
      </c>
      <c r="P77" s="16" t="str">
        <f t="shared" si="11"/>
        <v>Fail</v>
      </c>
      <c r="Q77" s="16" t="str">
        <f t="shared" si="12"/>
        <v>C</v>
      </c>
      <c r="R77" s="16">
        <f t="shared" si="13"/>
        <v>1</v>
      </c>
      <c r="S77" s="16" t="str">
        <f t="shared" si="14"/>
        <v>AVERAGE</v>
      </c>
      <c r="T77" s="16"/>
      <c r="U77" s="17" t="str">
        <f t="shared" si="15"/>
        <v>NO</v>
      </c>
    </row>
    <row r="78" spans="1:21" x14ac:dyDescent="0.3">
      <c r="A78" s="12" t="str">
        <f t="shared" si="8"/>
        <v>ST077</v>
      </c>
      <c r="B78" s="13" t="s">
        <v>15</v>
      </c>
      <c r="C78" s="13">
        <v>21</v>
      </c>
      <c r="D78" s="13" t="s">
        <v>17</v>
      </c>
      <c r="E78" s="13">
        <v>8</v>
      </c>
      <c r="F78" s="13">
        <f t="shared" ca="1" si="9"/>
        <v>92</v>
      </c>
      <c r="G78" s="13">
        <v>5.7</v>
      </c>
      <c r="H78" s="13">
        <v>90</v>
      </c>
      <c r="I78" s="13">
        <v>29</v>
      </c>
      <c r="J78" s="13">
        <v>46</v>
      </c>
      <c r="K78" s="13">
        <v>65</v>
      </c>
      <c r="L78" s="13">
        <v>94</v>
      </c>
      <c r="M78" s="13">
        <v>57</v>
      </c>
      <c r="N78" s="13">
        <v>93</v>
      </c>
      <c r="O78" s="13">
        <f t="shared" si="10"/>
        <v>71</v>
      </c>
      <c r="P78" s="13" t="str">
        <f t="shared" si="11"/>
        <v>Pass</v>
      </c>
      <c r="Q78" s="13" t="str">
        <f t="shared" si="12"/>
        <v>B</v>
      </c>
      <c r="R78" s="13">
        <f t="shared" si="13"/>
        <v>0</v>
      </c>
      <c r="S78" s="13" t="str">
        <f t="shared" si="14"/>
        <v>GOOD</v>
      </c>
      <c r="T78" s="13"/>
      <c r="U78" s="14" t="str">
        <f t="shared" si="15"/>
        <v>YES</v>
      </c>
    </row>
    <row r="79" spans="1:21" x14ac:dyDescent="0.3">
      <c r="A79" s="15" t="str">
        <f t="shared" si="8"/>
        <v>ST078</v>
      </c>
      <c r="B79" s="16" t="s">
        <v>13</v>
      </c>
      <c r="C79" s="16">
        <v>22</v>
      </c>
      <c r="D79" s="16" t="s">
        <v>17</v>
      </c>
      <c r="E79" s="16">
        <v>7</v>
      </c>
      <c r="F79" s="16">
        <f t="shared" ca="1" si="9"/>
        <v>79</v>
      </c>
      <c r="G79" s="16">
        <v>2.2999999999999998</v>
      </c>
      <c r="H79" s="16">
        <v>88</v>
      </c>
      <c r="I79" s="16">
        <v>30</v>
      </c>
      <c r="J79" s="16">
        <v>30</v>
      </c>
      <c r="K79" s="16">
        <v>93</v>
      </c>
      <c r="L79" s="16">
        <v>48</v>
      </c>
      <c r="M79" s="16">
        <v>74</v>
      </c>
      <c r="N79" s="16">
        <v>38</v>
      </c>
      <c r="O79" s="16">
        <f t="shared" si="10"/>
        <v>56.599999999999994</v>
      </c>
      <c r="P79" s="16" t="str">
        <f t="shared" si="11"/>
        <v>Fail</v>
      </c>
      <c r="Q79" s="16" t="str">
        <f t="shared" si="12"/>
        <v>C</v>
      </c>
      <c r="R79" s="16">
        <f t="shared" si="13"/>
        <v>2</v>
      </c>
      <c r="S79" s="16" t="str">
        <f t="shared" si="14"/>
        <v>AVERAGE</v>
      </c>
      <c r="T79" s="16"/>
      <c r="U79" s="17" t="str">
        <f t="shared" si="15"/>
        <v>NO</v>
      </c>
    </row>
    <row r="80" spans="1:21" x14ac:dyDescent="0.3">
      <c r="A80" s="12" t="str">
        <f t="shared" si="8"/>
        <v>ST079</v>
      </c>
      <c r="B80" s="13" t="s">
        <v>15</v>
      </c>
      <c r="C80" s="13">
        <v>24</v>
      </c>
      <c r="D80" s="13" t="s">
        <v>18</v>
      </c>
      <c r="E80" s="13">
        <v>7</v>
      </c>
      <c r="F80" s="13">
        <f t="shared" ca="1" si="9"/>
        <v>55</v>
      </c>
      <c r="G80" s="13">
        <v>3.6</v>
      </c>
      <c r="H80" s="13">
        <v>56</v>
      </c>
      <c r="I80" s="13">
        <v>45</v>
      </c>
      <c r="J80" s="13">
        <v>91</v>
      </c>
      <c r="K80" s="13">
        <v>40</v>
      </c>
      <c r="L80" s="13">
        <v>84</v>
      </c>
      <c r="M80" s="13">
        <v>79</v>
      </c>
      <c r="N80" s="13">
        <v>80</v>
      </c>
      <c r="O80" s="13">
        <f t="shared" si="10"/>
        <v>74.8</v>
      </c>
      <c r="P80" s="13" t="str">
        <f t="shared" si="11"/>
        <v>Pass</v>
      </c>
      <c r="Q80" s="13" t="str">
        <f t="shared" si="12"/>
        <v>B</v>
      </c>
      <c r="R80" s="13">
        <f t="shared" si="13"/>
        <v>0</v>
      </c>
      <c r="S80" s="13" t="str">
        <f t="shared" si="14"/>
        <v>GOOD</v>
      </c>
      <c r="T80" s="13"/>
      <c r="U80" s="14" t="str">
        <f t="shared" si="15"/>
        <v>YES</v>
      </c>
    </row>
    <row r="81" spans="1:21" x14ac:dyDescent="0.3">
      <c r="A81" s="15" t="str">
        <f t="shared" si="8"/>
        <v>ST080</v>
      </c>
      <c r="B81" s="16" t="s">
        <v>15</v>
      </c>
      <c r="C81" s="16">
        <v>22</v>
      </c>
      <c r="D81" s="16" t="s">
        <v>16</v>
      </c>
      <c r="E81" s="16">
        <v>8</v>
      </c>
      <c r="F81" s="16">
        <f t="shared" ca="1" si="9"/>
        <v>76</v>
      </c>
      <c r="G81" s="16">
        <v>3.9</v>
      </c>
      <c r="H81" s="16">
        <v>98</v>
      </c>
      <c r="I81" s="16">
        <v>22</v>
      </c>
      <c r="J81" s="16">
        <v>64</v>
      </c>
      <c r="K81" s="16">
        <v>35</v>
      </c>
      <c r="L81" s="16">
        <v>30</v>
      </c>
      <c r="M81" s="16">
        <v>96</v>
      </c>
      <c r="N81" s="16">
        <v>31</v>
      </c>
      <c r="O81" s="16">
        <f t="shared" si="10"/>
        <v>51.2</v>
      </c>
      <c r="P81" s="16" t="str">
        <f t="shared" si="11"/>
        <v>Fail</v>
      </c>
      <c r="Q81" s="16" t="str">
        <f t="shared" si="12"/>
        <v>C</v>
      </c>
      <c r="R81" s="16">
        <f t="shared" si="13"/>
        <v>3</v>
      </c>
      <c r="S81" s="16" t="str">
        <f t="shared" si="14"/>
        <v>AVERAGE</v>
      </c>
      <c r="T81" s="16"/>
      <c r="U81" s="17" t="str">
        <f t="shared" si="15"/>
        <v>NO</v>
      </c>
    </row>
    <row r="82" spans="1:21" x14ac:dyDescent="0.3">
      <c r="A82" s="12" t="str">
        <f t="shared" si="8"/>
        <v>ST081</v>
      </c>
      <c r="B82" s="13" t="s">
        <v>15</v>
      </c>
      <c r="C82" s="13">
        <v>22</v>
      </c>
      <c r="D82" s="13" t="s">
        <v>14</v>
      </c>
      <c r="E82" s="13">
        <v>8</v>
      </c>
      <c r="F82" s="13">
        <f t="shared" ca="1" si="9"/>
        <v>43</v>
      </c>
      <c r="G82" s="13">
        <v>2.2999999999999998</v>
      </c>
      <c r="H82" s="13">
        <v>65</v>
      </c>
      <c r="I82" s="13">
        <v>48</v>
      </c>
      <c r="J82" s="13">
        <v>83</v>
      </c>
      <c r="K82" s="13">
        <v>90</v>
      </c>
      <c r="L82" s="13">
        <v>95</v>
      </c>
      <c r="M82" s="13">
        <v>60</v>
      </c>
      <c r="N82" s="13">
        <v>66</v>
      </c>
      <c r="O82" s="13">
        <f t="shared" si="10"/>
        <v>78.8</v>
      </c>
      <c r="P82" s="13" t="str">
        <f t="shared" si="11"/>
        <v>Pass</v>
      </c>
      <c r="Q82" s="13" t="str">
        <f t="shared" si="12"/>
        <v>B</v>
      </c>
      <c r="R82" s="13">
        <f t="shared" si="13"/>
        <v>0</v>
      </c>
      <c r="S82" s="13" t="str">
        <f t="shared" si="14"/>
        <v>GOOD</v>
      </c>
      <c r="T82" s="13"/>
      <c r="U82" s="14" t="str">
        <f t="shared" si="15"/>
        <v>YES</v>
      </c>
    </row>
    <row r="83" spans="1:21" x14ac:dyDescent="0.3">
      <c r="A83" s="15" t="str">
        <f t="shared" si="8"/>
        <v>ST082</v>
      </c>
      <c r="B83" s="16" t="s">
        <v>13</v>
      </c>
      <c r="C83" s="16">
        <v>23</v>
      </c>
      <c r="D83" s="16" t="s">
        <v>18</v>
      </c>
      <c r="E83" s="16">
        <v>8</v>
      </c>
      <c r="F83" s="16">
        <f t="shared" ca="1" si="9"/>
        <v>43</v>
      </c>
      <c r="G83" s="16">
        <v>1.1000000000000001</v>
      </c>
      <c r="H83" s="16">
        <v>64</v>
      </c>
      <c r="I83" s="16">
        <v>30</v>
      </c>
      <c r="J83" s="16">
        <v>74</v>
      </c>
      <c r="K83" s="16">
        <v>78</v>
      </c>
      <c r="L83" s="16">
        <v>49</v>
      </c>
      <c r="M83" s="16">
        <v>79</v>
      </c>
      <c r="N83" s="16">
        <v>60</v>
      </c>
      <c r="O83" s="16">
        <f t="shared" si="10"/>
        <v>68</v>
      </c>
      <c r="P83" s="16" t="str">
        <f t="shared" si="11"/>
        <v>Pass</v>
      </c>
      <c r="Q83" s="16" t="str">
        <f t="shared" si="12"/>
        <v>B</v>
      </c>
      <c r="R83" s="16">
        <f t="shared" si="13"/>
        <v>0</v>
      </c>
      <c r="S83" s="16" t="str">
        <f t="shared" si="14"/>
        <v>GOOD</v>
      </c>
      <c r="T83" s="16"/>
      <c r="U83" s="17" t="str">
        <f t="shared" si="15"/>
        <v>YES</v>
      </c>
    </row>
    <row r="84" spans="1:21" x14ac:dyDescent="0.3">
      <c r="A84" s="12" t="str">
        <f t="shared" si="8"/>
        <v>ST083</v>
      </c>
      <c r="B84" s="13" t="s">
        <v>13</v>
      </c>
      <c r="C84" s="13">
        <v>21</v>
      </c>
      <c r="D84" s="13" t="s">
        <v>17</v>
      </c>
      <c r="E84" s="13">
        <v>8</v>
      </c>
      <c r="F84" s="13">
        <f t="shared" ca="1" si="9"/>
        <v>89</v>
      </c>
      <c r="G84" s="13">
        <v>3.3</v>
      </c>
      <c r="H84" s="13">
        <v>82</v>
      </c>
      <c r="I84" s="13">
        <v>23</v>
      </c>
      <c r="J84" s="13">
        <v>49</v>
      </c>
      <c r="K84" s="13">
        <v>43</v>
      </c>
      <c r="L84" s="13">
        <v>73</v>
      </c>
      <c r="M84" s="13">
        <v>87</v>
      </c>
      <c r="N84" s="13">
        <v>42</v>
      </c>
      <c r="O84" s="13">
        <f t="shared" si="10"/>
        <v>58.8</v>
      </c>
      <c r="P84" s="13" t="str">
        <f t="shared" si="11"/>
        <v>Pass</v>
      </c>
      <c r="Q84" s="13" t="str">
        <f t="shared" si="12"/>
        <v>C</v>
      </c>
      <c r="R84" s="13">
        <f t="shared" si="13"/>
        <v>0</v>
      </c>
      <c r="S84" s="13" t="str">
        <f t="shared" si="14"/>
        <v>AVERAGE</v>
      </c>
      <c r="T84" s="13"/>
      <c r="U84" s="14" t="str">
        <f t="shared" si="15"/>
        <v>YES</v>
      </c>
    </row>
    <row r="85" spans="1:21" x14ac:dyDescent="0.3">
      <c r="A85" s="15" t="str">
        <f t="shared" si="8"/>
        <v>ST084</v>
      </c>
      <c r="B85" s="16" t="s">
        <v>15</v>
      </c>
      <c r="C85" s="16">
        <v>22</v>
      </c>
      <c r="D85" s="16" t="s">
        <v>17</v>
      </c>
      <c r="E85" s="16">
        <v>7</v>
      </c>
      <c r="F85" s="16">
        <f t="shared" ca="1" si="9"/>
        <v>57</v>
      </c>
      <c r="G85" s="16">
        <v>3.7</v>
      </c>
      <c r="H85" s="16">
        <v>67</v>
      </c>
      <c r="I85" s="16">
        <v>39</v>
      </c>
      <c r="J85" s="16">
        <v>82</v>
      </c>
      <c r="K85" s="16">
        <v>30</v>
      </c>
      <c r="L85" s="16">
        <v>87</v>
      </c>
      <c r="M85" s="16">
        <v>62</v>
      </c>
      <c r="N85" s="16">
        <v>75</v>
      </c>
      <c r="O85" s="16">
        <f t="shared" si="10"/>
        <v>67.2</v>
      </c>
      <c r="P85" s="16" t="str">
        <f t="shared" si="11"/>
        <v>Fail</v>
      </c>
      <c r="Q85" s="16" t="str">
        <f t="shared" si="12"/>
        <v>B</v>
      </c>
      <c r="R85" s="16">
        <f t="shared" si="13"/>
        <v>1</v>
      </c>
      <c r="S85" s="16" t="str">
        <f t="shared" si="14"/>
        <v>GOOD</v>
      </c>
      <c r="T85" s="16"/>
      <c r="U85" s="17" t="str">
        <f t="shared" si="15"/>
        <v>NO</v>
      </c>
    </row>
    <row r="86" spans="1:21" x14ac:dyDescent="0.3">
      <c r="A86" s="12" t="str">
        <f t="shared" si="8"/>
        <v>ST085</v>
      </c>
      <c r="B86" s="13" t="s">
        <v>13</v>
      </c>
      <c r="C86" s="13">
        <v>23</v>
      </c>
      <c r="D86" s="13" t="s">
        <v>17</v>
      </c>
      <c r="E86" s="13">
        <v>8</v>
      </c>
      <c r="F86" s="13">
        <f t="shared" ca="1" si="9"/>
        <v>81</v>
      </c>
      <c r="G86" s="13">
        <v>2.2000000000000002</v>
      </c>
      <c r="H86" s="13">
        <v>91</v>
      </c>
      <c r="I86" s="13">
        <v>25</v>
      </c>
      <c r="J86" s="13">
        <v>45</v>
      </c>
      <c r="K86" s="13">
        <v>83</v>
      </c>
      <c r="L86" s="13">
        <v>83</v>
      </c>
      <c r="M86" s="13">
        <v>91</v>
      </c>
      <c r="N86" s="13">
        <v>32</v>
      </c>
      <c r="O86" s="13">
        <f t="shared" si="10"/>
        <v>66.8</v>
      </c>
      <c r="P86" s="13" t="str">
        <f t="shared" si="11"/>
        <v>Fail</v>
      </c>
      <c r="Q86" s="13" t="str">
        <f t="shared" si="12"/>
        <v>B</v>
      </c>
      <c r="R86" s="13">
        <f t="shared" si="13"/>
        <v>1</v>
      </c>
      <c r="S86" s="13" t="str">
        <f t="shared" si="14"/>
        <v>GOOD</v>
      </c>
      <c r="T86" s="13"/>
      <c r="U86" s="14" t="str">
        <f t="shared" si="15"/>
        <v>NO</v>
      </c>
    </row>
    <row r="87" spans="1:21" x14ac:dyDescent="0.3">
      <c r="A87" s="15" t="str">
        <f t="shared" si="8"/>
        <v>ST086</v>
      </c>
      <c r="B87" s="16" t="s">
        <v>13</v>
      </c>
      <c r="C87" s="16">
        <v>24</v>
      </c>
      <c r="D87" s="16" t="s">
        <v>16</v>
      </c>
      <c r="E87" s="16">
        <v>7</v>
      </c>
      <c r="F87" s="16">
        <f t="shared" ca="1" si="9"/>
        <v>83</v>
      </c>
      <c r="G87" s="16">
        <v>3.4</v>
      </c>
      <c r="H87" s="16">
        <v>80</v>
      </c>
      <c r="I87" s="16">
        <v>18</v>
      </c>
      <c r="J87" s="16">
        <v>64</v>
      </c>
      <c r="K87" s="16">
        <v>43</v>
      </c>
      <c r="L87" s="16">
        <v>97</v>
      </c>
      <c r="M87" s="16">
        <v>78</v>
      </c>
      <c r="N87" s="16">
        <v>31</v>
      </c>
      <c r="O87" s="16">
        <f t="shared" si="10"/>
        <v>62.6</v>
      </c>
      <c r="P87" s="16" t="str">
        <f t="shared" si="11"/>
        <v>Fail</v>
      </c>
      <c r="Q87" s="16" t="str">
        <f t="shared" si="12"/>
        <v>B</v>
      </c>
      <c r="R87" s="16">
        <f t="shared" si="13"/>
        <v>1</v>
      </c>
      <c r="S87" s="16" t="str">
        <f t="shared" si="14"/>
        <v>GOOD</v>
      </c>
      <c r="T87" s="16"/>
      <c r="U87" s="17" t="str">
        <f t="shared" si="15"/>
        <v>NO</v>
      </c>
    </row>
    <row r="88" spans="1:21" x14ac:dyDescent="0.3">
      <c r="A88" s="12" t="str">
        <f t="shared" si="8"/>
        <v>ST087</v>
      </c>
      <c r="B88" s="13" t="s">
        <v>15</v>
      </c>
      <c r="C88" s="13">
        <v>24</v>
      </c>
      <c r="D88" s="13" t="s">
        <v>17</v>
      </c>
      <c r="E88" s="13">
        <v>7</v>
      </c>
      <c r="F88" s="13">
        <f t="shared" ca="1" si="9"/>
        <v>89</v>
      </c>
      <c r="G88" s="13">
        <v>4.9000000000000004</v>
      </c>
      <c r="H88" s="13">
        <v>83</v>
      </c>
      <c r="I88" s="13">
        <v>46</v>
      </c>
      <c r="J88" s="13">
        <v>79</v>
      </c>
      <c r="K88" s="13">
        <v>75</v>
      </c>
      <c r="L88" s="13">
        <v>35</v>
      </c>
      <c r="M88" s="13">
        <v>60</v>
      </c>
      <c r="N88" s="13">
        <v>62</v>
      </c>
      <c r="O88" s="13">
        <f t="shared" si="10"/>
        <v>62.2</v>
      </c>
      <c r="P88" s="13" t="str">
        <f t="shared" si="11"/>
        <v>Fail</v>
      </c>
      <c r="Q88" s="13" t="str">
        <f t="shared" si="12"/>
        <v>B</v>
      </c>
      <c r="R88" s="13">
        <f t="shared" si="13"/>
        <v>1</v>
      </c>
      <c r="S88" s="13" t="str">
        <f t="shared" si="14"/>
        <v>GOOD</v>
      </c>
      <c r="T88" s="13"/>
      <c r="U88" s="14" t="str">
        <f t="shared" si="15"/>
        <v>NO</v>
      </c>
    </row>
    <row r="89" spans="1:21" x14ac:dyDescent="0.3">
      <c r="A89" s="15" t="str">
        <f t="shared" si="8"/>
        <v>ST088</v>
      </c>
      <c r="B89" s="16" t="s">
        <v>13</v>
      </c>
      <c r="C89" s="16">
        <v>23</v>
      </c>
      <c r="D89" s="16" t="s">
        <v>17</v>
      </c>
      <c r="E89" s="16">
        <v>8</v>
      </c>
      <c r="F89" s="16">
        <f t="shared" ca="1" si="9"/>
        <v>74</v>
      </c>
      <c r="G89" s="16">
        <v>3.7</v>
      </c>
      <c r="H89" s="16">
        <v>54</v>
      </c>
      <c r="I89" s="16">
        <v>38</v>
      </c>
      <c r="J89" s="16">
        <v>12</v>
      </c>
      <c r="K89" s="16">
        <v>40</v>
      </c>
      <c r="L89" s="16">
        <v>48</v>
      </c>
      <c r="M89" s="16">
        <v>84</v>
      </c>
      <c r="N89" s="16">
        <v>99</v>
      </c>
      <c r="O89" s="16">
        <f t="shared" si="10"/>
        <v>56.599999999999994</v>
      </c>
      <c r="P89" s="16" t="str">
        <f t="shared" si="11"/>
        <v>Fail</v>
      </c>
      <c r="Q89" s="16" t="str">
        <f t="shared" si="12"/>
        <v>C</v>
      </c>
      <c r="R89" s="16">
        <f t="shared" si="13"/>
        <v>1</v>
      </c>
      <c r="S89" s="16" t="str">
        <f t="shared" si="14"/>
        <v>AVERAGE</v>
      </c>
      <c r="T89" s="16"/>
      <c r="U89" s="17" t="str">
        <f t="shared" si="15"/>
        <v>NO</v>
      </c>
    </row>
    <row r="90" spans="1:21" x14ac:dyDescent="0.3">
      <c r="A90" s="12" t="str">
        <f t="shared" si="8"/>
        <v>ST089</v>
      </c>
      <c r="B90" s="13" t="s">
        <v>15</v>
      </c>
      <c r="C90" s="13">
        <v>24</v>
      </c>
      <c r="D90" s="13" t="s">
        <v>18</v>
      </c>
      <c r="E90" s="13">
        <v>8</v>
      </c>
      <c r="F90" s="13">
        <f t="shared" ca="1" si="9"/>
        <v>74</v>
      </c>
      <c r="G90" s="13">
        <v>2.2000000000000002</v>
      </c>
      <c r="H90" s="13">
        <v>51</v>
      </c>
      <c r="I90" s="13">
        <v>18</v>
      </c>
      <c r="J90" s="13">
        <v>69</v>
      </c>
      <c r="K90" s="13">
        <v>28</v>
      </c>
      <c r="L90" s="13">
        <v>97</v>
      </c>
      <c r="M90" s="13">
        <v>69</v>
      </c>
      <c r="N90" s="13">
        <v>49</v>
      </c>
      <c r="O90" s="13">
        <f t="shared" si="10"/>
        <v>62.4</v>
      </c>
      <c r="P90" s="13" t="str">
        <f t="shared" si="11"/>
        <v>Fail</v>
      </c>
      <c r="Q90" s="13" t="str">
        <f t="shared" si="12"/>
        <v>B</v>
      </c>
      <c r="R90" s="13">
        <f t="shared" si="13"/>
        <v>1</v>
      </c>
      <c r="S90" s="13" t="str">
        <f t="shared" si="14"/>
        <v>GOOD</v>
      </c>
      <c r="T90" s="13"/>
      <c r="U90" s="14" t="str">
        <f t="shared" si="15"/>
        <v>NO</v>
      </c>
    </row>
    <row r="91" spans="1:21" x14ac:dyDescent="0.3">
      <c r="A91" s="15" t="str">
        <f t="shared" si="8"/>
        <v>ST090</v>
      </c>
      <c r="B91" s="16" t="s">
        <v>13</v>
      </c>
      <c r="C91" s="16">
        <v>22</v>
      </c>
      <c r="D91" s="16" t="s">
        <v>17</v>
      </c>
      <c r="E91" s="16">
        <v>8</v>
      </c>
      <c r="F91" s="16">
        <f t="shared" ca="1" si="9"/>
        <v>82</v>
      </c>
      <c r="G91" s="16">
        <v>4.3</v>
      </c>
      <c r="H91" s="16">
        <v>74</v>
      </c>
      <c r="I91" s="16">
        <v>42</v>
      </c>
      <c r="J91" s="16">
        <v>58</v>
      </c>
      <c r="K91" s="16">
        <v>28</v>
      </c>
      <c r="L91" s="16">
        <v>24</v>
      </c>
      <c r="M91" s="16">
        <v>60</v>
      </c>
      <c r="N91" s="16">
        <v>86</v>
      </c>
      <c r="O91" s="16">
        <f t="shared" si="10"/>
        <v>51.2</v>
      </c>
      <c r="P91" s="16" t="str">
        <f t="shared" si="11"/>
        <v>Fail</v>
      </c>
      <c r="Q91" s="16" t="str">
        <f t="shared" si="12"/>
        <v>C</v>
      </c>
      <c r="R91" s="16">
        <f t="shared" si="13"/>
        <v>2</v>
      </c>
      <c r="S91" s="16" t="str">
        <f t="shared" si="14"/>
        <v>AVERAGE</v>
      </c>
      <c r="T91" s="16"/>
      <c r="U91" s="17" t="str">
        <f t="shared" si="15"/>
        <v>NO</v>
      </c>
    </row>
    <row r="92" spans="1:21" x14ac:dyDescent="0.3">
      <c r="A92" s="12" t="str">
        <f t="shared" si="8"/>
        <v>ST091</v>
      </c>
      <c r="B92" s="13" t="s">
        <v>15</v>
      </c>
      <c r="C92" s="13">
        <v>22</v>
      </c>
      <c r="D92" s="13" t="s">
        <v>14</v>
      </c>
      <c r="E92" s="13">
        <v>7</v>
      </c>
      <c r="F92" s="13">
        <f t="shared" ca="1" si="9"/>
        <v>79</v>
      </c>
      <c r="G92" s="13">
        <v>5.3</v>
      </c>
      <c r="H92" s="13">
        <v>95</v>
      </c>
      <c r="I92" s="13">
        <v>38</v>
      </c>
      <c r="J92" s="13">
        <v>92</v>
      </c>
      <c r="K92" s="13">
        <v>87</v>
      </c>
      <c r="L92" s="13">
        <v>57</v>
      </c>
      <c r="M92" s="13">
        <v>50</v>
      </c>
      <c r="N92" s="13">
        <v>53</v>
      </c>
      <c r="O92" s="13">
        <f t="shared" si="10"/>
        <v>67.800000000000011</v>
      </c>
      <c r="P92" s="13" t="str">
        <f t="shared" si="11"/>
        <v>Pass</v>
      </c>
      <c r="Q92" s="13" t="str">
        <f t="shared" si="12"/>
        <v>B</v>
      </c>
      <c r="R92" s="13">
        <f t="shared" si="13"/>
        <v>0</v>
      </c>
      <c r="S92" s="13" t="str">
        <f t="shared" si="14"/>
        <v>GOOD</v>
      </c>
      <c r="T92" s="13"/>
      <c r="U92" s="14" t="str">
        <f t="shared" si="15"/>
        <v>YES</v>
      </c>
    </row>
    <row r="93" spans="1:21" x14ac:dyDescent="0.3">
      <c r="A93" s="15" t="str">
        <f t="shared" si="8"/>
        <v>ST092</v>
      </c>
      <c r="B93" s="16" t="s">
        <v>15</v>
      </c>
      <c r="C93" s="16">
        <v>24</v>
      </c>
      <c r="D93" s="16" t="s">
        <v>14</v>
      </c>
      <c r="E93" s="16">
        <v>8</v>
      </c>
      <c r="F93" s="16">
        <f t="shared" ca="1" si="9"/>
        <v>75</v>
      </c>
      <c r="G93" s="16">
        <v>1.6</v>
      </c>
      <c r="H93" s="16">
        <v>85</v>
      </c>
      <c r="I93" s="16">
        <v>44</v>
      </c>
      <c r="J93" s="16">
        <v>63</v>
      </c>
      <c r="K93" s="16">
        <v>23</v>
      </c>
      <c r="L93" s="16">
        <v>36</v>
      </c>
      <c r="M93" s="16">
        <v>81</v>
      </c>
      <c r="N93" s="16">
        <v>33</v>
      </c>
      <c r="O93" s="16">
        <f t="shared" si="10"/>
        <v>47.199999999999996</v>
      </c>
      <c r="P93" s="16" t="str">
        <f t="shared" si="11"/>
        <v>Fail</v>
      </c>
      <c r="Q93" s="16" t="str">
        <f t="shared" si="12"/>
        <v>D</v>
      </c>
      <c r="R93" s="16">
        <f t="shared" si="13"/>
        <v>3</v>
      </c>
      <c r="S93" s="16" t="str">
        <f t="shared" si="14"/>
        <v>AVERAGE</v>
      </c>
      <c r="T93" s="16"/>
      <c r="U93" s="17" t="str">
        <f t="shared" si="15"/>
        <v>NO</v>
      </c>
    </row>
    <row r="94" spans="1:21" x14ac:dyDescent="0.3">
      <c r="A94" s="12" t="str">
        <f t="shared" si="8"/>
        <v>ST093</v>
      </c>
      <c r="B94" s="13" t="s">
        <v>15</v>
      </c>
      <c r="C94" s="13">
        <v>23</v>
      </c>
      <c r="D94" s="13" t="s">
        <v>18</v>
      </c>
      <c r="E94" s="13">
        <v>8</v>
      </c>
      <c r="F94" s="13">
        <f t="shared" ca="1" si="9"/>
        <v>75</v>
      </c>
      <c r="G94" s="13">
        <v>5.6</v>
      </c>
      <c r="H94" s="13">
        <v>92</v>
      </c>
      <c r="I94" s="13">
        <v>20</v>
      </c>
      <c r="J94" s="13">
        <v>32</v>
      </c>
      <c r="K94" s="13">
        <v>82</v>
      </c>
      <c r="L94" s="13">
        <v>85</v>
      </c>
      <c r="M94" s="13">
        <v>90</v>
      </c>
      <c r="N94" s="13">
        <v>89</v>
      </c>
      <c r="O94" s="13">
        <f t="shared" si="10"/>
        <v>75.599999999999994</v>
      </c>
      <c r="P94" s="13" t="str">
        <f t="shared" si="11"/>
        <v>Fail</v>
      </c>
      <c r="Q94" s="13" t="str">
        <f t="shared" si="12"/>
        <v>B</v>
      </c>
      <c r="R94" s="13">
        <f t="shared" si="13"/>
        <v>1</v>
      </c>
      <c r="S94" s="13" t="str">
        <f t="shared" si="14"/>
        <v>GOOD</v>
      </c>
      <c r="T94" s="13"/>
      <c r="U94" s="14" t="str">
        <f t="shared" si="15"/>
        <v>NO</v>
      </c>
    </row>
    <row r="95" spans="1:21" x14ac:dyDescent="0.3">
      <c r="A95" s="15" t="str">
        <f t="shared" si="8"/>
        <v>ST094</v>
      </c>
      <c r="B95" s="16" t="s">
        <v>13</v>
      </c>
      <c r="C95" s="16">
        <v>22</v>
      </c>
      <c r="D95" s="16" t="s">
        <v>14</v>
      </c>
      <c r="E95" s="16">
        <v>8</v>
      </c>
      <c r="F95" s="16">
        <f t="shared" ca="1" si="9"/>
        <v>46</v>
      </c>
      <c r="G95" s="16">
        <v>3.3</v>
      </c>
      <c r="H95" s="16">
        <v>57</v>
      </c>
      <c r="I95" s="16">
        <v>49</v>
      </c>
      <c r="J95" s="16">
        <v>33</v>
      </c>
      <c r="K95" s="16">
        <v>21</v>
      </c>
      <c r="L95" s="16">
        <v>39</v>
      </c>
      <c r="M95" s="16">
        <v>88</v>
      </c>
      <c r="N95" s="16">
        <v>99</v>
      </c>
      <c r="O95" s="16">
        <f t="shared" si="10"/>
        <v>56.000000000000007</v>
      </c>
      <c r="P95" s="16" t="str">
        <f t="shared" si="11"/>
        <v>Fail</v>
      </c>
      <c r="Q95" s="16" t="str">
        <f t="shared" si="12"/>
        <v>C</v>
      </c>
      <c r="R95" s="16">
        <f t="shared" si="13"/>
        <v>3</v>
      </c>
      <c r="S95" s="16" t="str">
        <f t="shared" si="14"/>
        <v>AVERAGE</v>
      </c>
      <c r="T95" s="16"/>
      <c r="U95" s="17" t="str">
        <f t="shared" si="15"/>
        <v>NO</v>
      </c>
    </row>
    <row r="96" spans="1:21" x14ac:dyDescent="0.3">
      <c r="A96" s="12" t="str">
        <f t="shared" si="8"/>
        <v>ST095</v>
      </c>
      <c r="B96" s="13" t="s">
        <v>15</v>
      </c>
      <c r="C96" s="13">
        <v>23</v>
      </c>
      <c r="D96" s="13" t="s">
        <v>18</v>
      </c>
      <c r="E96" s="13">
        <v>8</v>
      </c>
      <c r="F96" s="13">
        <f t="shared" ca="1" si="9"/>
        <v>56</v>
      </c>
      <c r="G96" s="13">
        <v>5.9</v>
      </c>
      <c r="H96" s="13">
        <v>63</v>
      </c>
      <c r="I96" s="13">
        <v>27</v>
      </c>
      <c r="J96" s="13">
        <v>57</v>
      </c>
      <c r="K96" s="13">
        <v>79</v>
      </c>
      <c r="L96" s="13">
        <v>66</v>
      </c>
      <c r="M96" s="13">
        <v>78</v>
      </c>
      <c r="N96" s="13">
        <v>40</v>
      </c>
      <c r="O96" s="13">
        <f t="shared" si="10"/>
        <v>64</v>
      </c>
      <c r="P96" s="13" t="str">
        <f t="shared" si="11"/>
        <v>Pass</v>
      </c>
      <c r="Q96" s="13" t="str">
        <f t="shared" si="12"/>
        <v>B</v>
      </c>
      <c r="R96" s="13">
        <f t="shared" si="13"/>
        <v>0</v>
      </c>
      <c r="S96" s="13" t="str">
        <f t="shared" si="14"/>
        <v>GOOD</v>
      </c>
      <c r="T96" s="13"/>
      <c r="U96" s="14" t="str">
        <f t="shared" si="15"/>
        <v>YES</v>
      </c>
    </row>
    <row r="97" spans="1:21" x14ac:dyDescent="0.3">
      <c r="A97" s="15" t="str">
        <f t="shared" si="8"/>
        <v>ST096</v>
      </c>
      <c r="B97" s="16" t="s">
        <v>15</v>
      </c>
      <c r="C97" s="16">
        <v>21</v>
      </c>
      <c r="D97" s="16" t="s">
        <v>18</v>
      </c>
      <c r="E97" s="16">
        <v>8</v>
      </c>
      <c r="F97" s="16">
        <f t="shared" ca="1" si="9"/>
        <v>79</v>
      </c>
      <c r="G97" s="16">
        <v>1.6</v>
      </c>
      <c r="H97" s="16">
        <v>74</v>
      </c>
      <c r="I97" s="16">
        <v>39</v>
      </c>
      <c r="J97" s="16">
        <v>10</v>
      </c>
      <c r="K97" s="16">
        <v>89</v>
      </c>
      <c r="L97" s="16">
        <v>85</v>
      </c>
      <c r="M97" s="16">
        <v>83</v>
      </c>
      <c r="N97" s="16">
        <v>60</v>
      </c>
      <c r="O97" s="16">
        <f t="shared" si="10"/>
        <v>65.400000000000006</v>
      </c>
      <c r="P97" s="16" t="str">
        <f t="shared" si="11"/>
        <v>Fail</v>
      </c>
      <c r="Q97" s="16" t="str">
        <f t="shared" si="12"/>
        <v>B</v>
      </c>
      <c r="R97" s="16">
        <f t="shared" si="13"/>
        <v>1</v>
      </c>
      <c r="S97" s="16" t="str">
        <f t="shared" si="14"/>
        <v>GOOD</v>
      </c>
      <c r="T97" s="16"/>
      <c r="U97" s="17" t="str">
        <f t="shared" si="15"/>
        <v>NO</v>
      </c>
    </row>
    <row r="98" spans="1:21" x14ac:dyDescent="0.3">
      <c r="A98" s="12" t="str">
        <f t="shared" si="8"/>
        <v>ST097</v>
      </c>
      <c r="B98" s="13" t="s">
        <v>15</v>
      </c>
      <c r="C98" s="13">
        <v>22</v>
      </c>
      <c r="D98" s="13" t="s">
        <v>17</v>
      </c>
      <c r="E98" s="13">
        <v>8</v>
      </c>
      <c r="F98" s="13">
        <f t="shared" ca="1" si="9"/>
        <v>62</v>
      </c>
      <c r="G98" s="13">
        <v>1.4</v>
      </c>
      <c r="H98" s="13">
        <v>55</v>
      </c>
      <c r="I98" s="13">
        <v>28</v>
      </c>
      <c r="J98" s="13">
        <v>80</v>
      </c>
      <c r="K98" s="13">
        <v>54</v>
      </c>
      <c r="L98" s="13">
        <v>32</v>
      </c>
      <c r="M98" s="13">
        <v>86</v>
      </c>
      <c r="N98" s="13">
        <v>41</v>
      </c>
      <c r="O98" s="13">
        <f t="shared" si="10"/>
        <v>58.599999999999994</v>
      </c>
      <c r="P98" s="13" t="str">
        <f t="shared" si="11"/>
        <v>Fail</v>
      </c>
      <c r="Q98" s="13" t="str">
        <f t="shared" si="12"/>
        <v>C</v>
      </c>
      <c r="R98" s="13">
        <f t="shared" si="13"/>
        <v>1</v>
      </c>
      <c r="S98" s="13" t="str">
        <f t="shared" si="14"/>
        <v>AVERAGE</v>
      </c>
      <c r="T98" s="13"/>
      <c r="U98" s="14" t="str">
        <f t="shared" si="15"/>
        <v>NO</v>
      </c>
    </row>
    <row r="99" spans="1:21" x14ac:dyDescent="0.3">
      <c r="A99" s="15" t="str">
        <f t="shared" si="8"/>
        <v>ST098</v>
      </c>
      <c r="B99" s="16" t="s">
        <v>13</v>
      </c>
      <c r="C99" s="16">
        <v>22</v>
      </c>
      <c r="D99" s="16" t="s">
        <v>14</v>
      </c>
      <c r="E99" s="16">
        <v>8</v>
      </c>
      <c r="F99" s="16">
        <f t="shared" ca="1" si="9"/>
        <v>91</v>
      </c>
      <c r="G99" s="16">
        <v>4.3</v>
      </c>
      <c r="H99" s="16">
        <v>97</v>
      </c>
      <c r="I99" s="16">
        <v>44</v>
      </c>
      <c r="J99" s="16">
        <v>47</v>
      </c>
      <c r="K99" s="16">
        <v>62</v>
      </c>
      <c r="L99" s="16">
        <v>63</v>
      </c>
      <c r="M99" s="16">
        <v>71</v>
      </c>
      <c r="N99" s="16">
        <v>61</v>
      </c>
      <c r="O99" s="16">
        <f t="shared" si="10"/>
        <v>60.8</v>
      </c>
      <c r="P99" s="16" t="str">
        <f t="shared" si="11"/>
        <v>Pass</v>
      </c>
      <c r="Q99" s="16" t="str">
        <f t="shared" si="12"/>
        <v>B</v>
      </c>
      <c r="R99" s="16">
        <f t="shared" si="13"/>
        <v>0</v>
      </c>
      <c r="S99" s="16" t="str">
        <f t="shared" si="14"/>
        <v>GOOD</v>
      </c>
      <c r="T99" s="16"/>
      <c r="U99" s="17" t="str">
        <f t="shared" si="15"/>
        <v>YES</v>
      </c>
    </row>
    <row r="100" spans="1:21" x14ac:dyDescent="0.3">
      <c r="A100" s="12" t="str">
        <f t="shared" si="8"/>
        <v>ST099</v>
      </c>
      <c r="B100" s="13" t="s">
        <v>13</v>
      </c>
      <c r="C100" s="13">
        <v>23</v>
      </c>
      <c r="D100" s="13" t="s">
        <v>16</v>
      </c>
      <c r="E100" s="13">
        <v>8</v>
      </c>
      <c r="F100" s="13">
        <f t="shared" ca="1" si="9"/>
        <v>68</v>
      </c>
      <c r="G100" s="13">
        <v>5.6</v>
      </c>
      <c r="H100" s="13">
        <v>55</v>
      </c>
      <c r="I100" s="13">
        <v>45</v>
      </c>
      <c r="J100" s="13">
        <v>25</v>
      </c>
      <c r="K100" s="13">
        <v>71</v>
      </c>
      <c r="L100" s="13">
        <v>81</v>
      </c>
      <c r="M100" s="13">
        <v>51</v>
      </c>
      <c r="N100" s="13">
        <v>98</v>
      </c>
      <c r="O100" s="13">
        <f t="shared" si="10"/>
        <v>65.2</v>
      </c>
      <c r="P100" s="13" t="str">
        <f t="shared" si="11"/>
        <v>Fail</v>
      </c>
      <c r="Q100" s="13" t="str">
        <f t="shared" si="12"/>
        <v>B</v>
      </c>
      <c r="R100" s="13">
        <f t="shared" si="13"/>
        <v>1</v>
      </c>
      <c r="S100" s="13" t="str">
        <f t="shared" si="14"/>
        <v>GOOD</v>
      </c>
      <c r="T100" s="13"/>
      <c r="U100" s="14" t="str">
        <f t="shared" si="15"/>
        <v>NO</v>
      </c>
    </row>
    <row r="101" spans="1:21" x14ac:dyDescent="0.3">
      <c r="A101" s="15" t="str">
        <f t="shared" si="8"/>
        <v>ST100</v>
      </c>
      <c r="B101" s="16" t="s">
        <v>13</v>
      </c>
      <c r="C101" s="16">
        <v>24</v>
      </c>
      <c r="D101" s="16" t="s">
        <v>18</v>
      </c>
      <c r="E101" s="16">
        <v>8</v>
      </c>
      <c r="F101" s="16">
        <f t="shared" ca="1" si="9"/>
        <v>88</v>
      </c>
      <c r="G101" s="16">
        <v>4.5999999999999996</v>
      </c>
      <c r="H101" s="16">
        <v>89</v>
      </c>
      <c r="I101" s="16">
        <v>31</v>
      </c>
      <c r="J101" s="16">
        <v>14</v>
      </c>
      <c r="K101" s="16">
        <v>58</v>
      </c>
      <c r="L101" s="16">
        <v>85</v>
      </c>
      <c r="M101" s="16">
        <v>73</v>
      </c>
      <c r="N101" s="16">
        <v>89</v>
      </c>
      <c r="O101" s="16">
        <f t="shared" si="10"/>
        <v>63.800000000000004</v>
      </c>
      <c r="P101" s="16" t="str">
        <f t="shared" si="11"/>
        <v>Fail</v>
      </c>
      <c r="Q101" s="16" t="str">
        <f t="shared" si="12"/>
        <v>B</v>
      </c>
      <c r="R101" s="16">
        <f t="shared" si="13"/>
        <v>1</v>
      </c>
      <c r="S101" s="16" t="str">
        <f t="shared" si="14"/>
        <v>GOOD</v>
      </c>
      <c r="T101" s="16"/>
      <c r="U101" s="17" t="str">
        <f t="shared" si="15"/>
        <v>NO</v>
      </c>
    </row>
    <row r="102" spans="1:21" x14ac:dyDescent="0.3">
      <c r="A102" s="12" t="str">
        <f t="shared" si="8"/>
        <v>ST101</v>
      </c>
      <c r="B102" s="13" t="s">
        <v>13</v>
      </c>
      <c r="C102" s="13">
        <v>24</v>
      </c>
      <c r="D102" s="13" t="s">
        <v>14</v>
      </c>
      <c r="E102" s="13">
        <v>7</v>
      </c>
      <c r="F102" s="13">
        <f t="shared" ca="1" si="9"/>
        <v>46</v>
      </c>
      <c r="G102" s="13">
        <v>5.7</v>
      </c>
      <c r="H102" s="13">
        <v>55</v>
      </c>
      <c r="I102" s="13">
        <v>50</v>
      </c>
      <c r="J102" s="13">
        <v>55</v>
      </c>
      <c r="K102" s="13">
        <v>56</v>
      </c>
      <c r="L102" s="13">
        <v>47</v>
      </c>
      <c r="M102" s="13">
        <v>73</v>
      </c>
      <c r="N102" s="13">
        <v>60</v>
      </c>
      <c r="O102" s="13">
        <f t="shared" si="10"/>
        <v>58.199999999999996</v>
      </c>
      <c r="P102" s="13" t="str">
        <f t="shared" si="11"/>
        <v>Pass</v>
      </c>
      <c r="Q102" s="13" t="str">
        <f t="shared" si="12"/>
        <v>C</v>
      </c>
      <c r="R102" s="13">
        <f t="shared" si="13"/>
        <v>0</v>
      </c>
      <c r="S102" s="13" t="str">
        <f t="shared" si="14"/>
        <v>AVERAGE</v>
      </c>
      <c r="T102" s="13"/>
      <c r="U102" s="14" t="str">
        <f t="shared" si="15"/>
        <v>YES</v>
      </c>
    </row>
    <row r="103" spans="1:21" x14ac:dyDescent="0.3">
      <c r="A103" s="15" t="str">
        <f t="shared" si="8"/>
        <v>ST102</v>
      </c>
      <c r="B103" s="16" t="s">
        <v>13</v>
      </c>
      <c r="C103" s="16">
        <v>23</v>
      </c>
      <c r="D103" s="16" t="s">
        <v>16</v>
      </c>
      <c r="E103" s="16">
        <v>7</v>
      </c>
      <c r="F103" s="16">
        <f t="shared" ca="1" si="9"/>
        <v>81</v>
      </c>
      <c r="G103" s="16">
        <v>1.9</v>
      </c>
      <c r="H103" s="16">
        <v>78</v>
      </c>
      <c r="I103" s="16">
        <v>19</v>
      </c>
      <c r="J103" s="16">
        <v>24</v>
      </c>
      <c r="K103" s="16">
        <v>48</v>
      </c>
      <c r="L103" s="16">
        <v>60</v>
      </c>
      <c r="M103" s="16">
        <v>77</v>
      </c>
      <c r="N103" s="16">
        <v>92</v>
      </c>
      <c r="O103" s="16">
        <f t="shared" si="10"/>
        <v>60.199999999999996</v>
      </c>
      <c r="P103" s="16" t="str">
        <f t="shared" si="11"/>
        <v>Fail</v>
      </c>
      <c r="Q103" s="16" t="str">
        <f t="shared" si="12"/>
        <v>B</v>
      </c>
      <c r="R103" s="16">
        <f t="shared" si="13"/>
        <v>1</v>
      </c>
      <c r="S103" s="16" t="str">
        <f t="shared" si="14"/>
        <v>GOOD</v>
      </c>
      <c r="T103" s="16"/>
      <c r="U103" s="17" t="str">
        <f t="shared" si="15"/>
        <v>NO</v>
      </c>
    </row>
    <row r="104" spans="1:21" x14ac:dyDescent="0.3">
      <c r="A104" s="12" t="str">
        <f t="shared" si="8"/>
        <v>ST103</v>
      </c>
      <c r="B104" s="13" t="s">
        <v>13</v>
      </c>
      <c r="C104" s="13">
        <v>22</v>
      </c>
      <c r="D104" s="13" t="s">
        <v>17</v>
      </c>
      <c r="E104" s="13">
        <v>8</v>
      </c>
      <c r="F104" s="13">
        <f t="shared" ca="1" si="9"/>
        <v>82</v>
      </c>
      <c r="G104" s="13">
        <v>2.7</v>
      </c>
      <c r="H104" s="13">
        <v>77</v>
      </c>
      <c r="I104" s="13">
        <v>20</v>
      </c>
      <c r="J104" s="13">
        <v>76</v>
      </c>
      <c r="K104" s="13">
        <v>47</v>
      </c>
      <c r="L104" s="13">
        <v>34</v>
      </c>
      <c r="M104" s="13">
        <v>72</v>
      </c>
      <c r="N104" s="13">
        <v>79</v>
      </c>
      <c r="O104" s="13">
        <f t="shared" si="10"/>
        <v>61.6</v>
      </c>
      <c r="P104" s="13" t="str">
        <f t="shared" si="11"/>
        <v>Fail</v>
      </c>
      <c r="Q104" s="13" t="str">
        <f t="shared" si="12"/>
        <v>B</v>
      </c>
      <c r="R104" s="13">
        <f t="shared" si="13"/>
        <v>1</v>
      </c>
      <c r="S104" s="13" t="str">
        <f t="shared" si="14"/>
        <v>GOOD</v>
      </c>
      <c r="T104" s="13"/>
      <c r="U104" s="14" t="str">
        <f t="shared" si="15"/>
        <v>NO</v>
      </c>
    </row>
    <row r="105" spans="1:21" x14ac:dyDescent="0.3">
      <c r="A105" s="15" t="str">
        <f t="shared" si="8"/>
        <v>ST104</v>
      </c>
      <c r="B105" s="16" t="s">
        <v>13</v>
      </c>
      <c r="C105" s="16">
        <v>22</v>
      </c>
      <c r="D105" s="16" t="s">
        <v>18</v>
      </c>
      <c r="E105" s="16">
        <v>8</v>
      </c>
      <c r="F105" s="16">
        <f t="shared" ca="1" si="9"/>
        <v>94</v>
      </c>
      <c r="G105" s="16">
        <v>5.9</v>
      </c>
      <c r="H105" s="16">
        <v>99</v>
      </c>
      <c r="I105" s="16">
        <v>29</v>
      </c>
      <c r="J105" s="16">
        <v>95</v>
      </c>
      <c r="K105" s="16">
        <v>18</v>
      </c>
      <c r="L105" s="16">
        <v>55</v>
      </c>
      <c r="M105" s="16">
        <v>84</v>
      </c>
      <c r="N105" s="16">
        <v>41</v>
      </c>
      <c r="O105" s="16">
        <f t="shared" si="10"/>
        <v>58.599999999999994</v>
      </c>
      <c r="P105" s="16" t="str">
        <f t="shared" si="11"/>
        <v>Fail</v>
      </c>
      <c r="Q105" s="16" t="str">
        <f t="shared" si="12"/>
        <v>C</v>
      </c>
      <c r="R105" s="16">
        <f t="shared" si="13"/>
        <v>1</v>
      </c>
      <c r="S105" s="16" t="str">
        <f t="shared" si="14"/>
        <v>AVERAGE</v>
      </c>
      <c r="T105" s="16"/>
      <c r="U105" s="17" t="str">
        <f t="shared" si="15"/>
        <v>NO</v>
      </c>
    </row>
    <row r="106" spans="1:21" x14ac:dyDescent="0.3">
      <c r="A106" s="12" t="str">
        <f t="shared" si="8"/>
        <v>ST105</v>
      </c>
      <c r="B106" s="13" t="s">
        <v>13</v>
      </c>
      <c r="C106" s="13">
        <v>21</v>
      </c>
      <c r="D106" s="13" t="s">
        <v>16</v>
      </c>
      <c r="E106" s="13">
        <v>8</v>
      </c>
      <c r="F106" s="13">
        <f t="shared" ca="1" si="9"/>
        <v>43</v>
      </c>
      <c r="G106" s="13">
        <v>2.1</v>
      </c>
      <c r="H106" s="13">
        <v>60</v>
      </c>
      <c r="I106" s="13">
        <v>25</v>
      </c>
      <c r="J106" s="13">
        <v>60</v>
      </c>
      <c r="K106" s="13">
        <v>40</v>
      </c>
      <c r="L106" s="13">
        <v>84</v>
      </c>
      <c r="M106" s="13">
        <v>90</v>
      </c>
      <c r="N106" s="13">
        <v>90</v>
      </c>
      <c r="O106" s="13">
        <f t="shared" si="10"/>
        <v>72.8</v>
      </c>
      <c r="P106" s="13" t="str">
        <f t="shared" si="11"/>
        <v>Pass</v>
      </c>
      <c r="Q106" s="13" t="str">
        <f t="shared" si="12"/>
        <v>B</v>
      </c>
      <c r="R106" s="13">
        <f t="shared" si="13"/>
        <v>0</v>
      </c>
      <c r="S106" s="13" t="str">
        <f t="shared" si="14"/>
        <v>GOOD</v>
      </c>
      <c r="T106" s="13"/>
      <c r="U106" s="14" t="str">
        <f t="shared" si="15"/>
        <v>YES</v>
      </c>
    </row>
    <row r="107" spans="1:21" x14ac:dyDescent="0.3">
      <c r="A107" s="15" t="str">
        <f t="shared" si="8"/>
        <v>ST106</v>
      </c>
      <c r="B107" s="16" t="s">
        <v>15</v>
      </c>
      <c r="C107" s="16">
        <v>22</v>
      </c>
      <c r="D107" s="16" t="s">
        <v>14</v>
      </c>
      <c r="E107" s="16">
        <v>8</v>
      </c>
      <c r="F107" s="16">
        <f t="shared" ca="1" si="9"/>
        <v>81</v>
      </c>
      <c r="G107" s="16">
        <v>5</v>
      </c>
      <c r="H107" s="16">
        <v>94</v>
      </c>
      <c r="I107" s="16">
        <v>20</v>
      </c>
      <c r="J107" s="16">
        <v>62</v>
      </c>
      <c r="K107" s="16">
        <v>80</v>
      </c>
      <c r="L107" s="16">
        <v>95</v>
      </c>
      <c r="M107" s="16">
        <v>56</v>
      </c>
      <c r="N107" s="16">
        <v>47</v>
      </c>
      <c r="O107" s="16">
        <f t="shared" si="10"/>
        <v>68</v>
      </c>
      <c r="P107" s="16" t="str">
        <f t="shared" si="11"/>
        <v>Pass</v>
      </c>
      <c r="Q107" s="16" t="str">
        <f t="shared" si="12"/>
        <v>B</v>
      </c>
      <c r="R107" s="16">
        <f t="shared" si="13"/>
        <v>0</v>
      </c>
      <c r="S107" s="16" t="str">
        <f t="shared" si="14"/>
        <v>GOOD</v>
      </c>
      <c r="T107" s="16"/>
      <c r="U107" s="17" t="str">
        <f t="shared" si="15"/>
        <v>YES</v>
      </c>
    </row>
    <row r="108" spans="1:21" x14ac:dyDescent="0.3">
      <c r="A108" s="12" t="str">
        <f t="shared" si="8"/>
        <v>ST107</v>
      </c>
      <c r="B108" s="13" t="s">
        <v>15</v>
      </c>
      <c r="C108" s="13">
        <v>24</v>
      </c>
      <c r="D108" s="13" t="s">
        <v>16</v>
      </c>
      <c r="E108" s="13">
        <v>7</v>
      </c>
      <c r="F108" s="13">
        <f t="shared" ca="1" si="9"/>
        <v>72</v>
      </c>
      <c r="G108" s="13">
        <v>5.6</v>
      </c>
      <c r="H108" s="13">
        <v>66</v>
      </c>
      <c r="I108" s="13">
        <v>22</v>
      </c>
      <c r="J108" s="13">
        <v>47</v>
      </c>
      <c r="K108" s="13">
        <v>60</v>
      </c>
      <c r="L108" s="13">
        <v>24</v>
      </c>
      <c r="M108" s="13">
        <v>51</v>
      </c>
      <c r="N108" s="13">
        <v>35</v>
      </c>
      <c r="O108" s="13">
        <f t="shared" si="10"/>
        <v>43.4</v>
      </c>
      <c r="P108" s="13" t="str">
        <f t="shared" si="11"/>
        <v>Fail</v>
      </c>
      <c r="Q108" s="13" t="str">
        <f t="shared" si="12"/>
        <v>D</v>
      </c>
      <c r="R108" s="13">
        <f t="shared" si="13"/>
        <v>2</v>
      </c>
      <c r="S108" s="13" t="str">
        <f t="shared" si="14"/>
        <v>AVERAGE</v>
      </c>
      <c r="T108" s="13"/>
      <c r="U108" s="14" t="str">
        <f t="shared" si="15"/>
        <v>NO</v>
      </c>
    </row>
    <row r="109" spans="1:21" x14ac:dyDescent="0.3">
      <c r="A109" s="15" t="str">
        <f t="shared" si="8"/>
        <v>ST108</v>
      </c>
      <c r="B109" s="16" t="s">
        <v>15</v>
      </c>
      <c r="C109" s="16">
        <v>22</v>
      </c>
      <c r="D109" s="16" t="s">
        <v>16</v>
      </c>
      <c r="E109" s="16">
        <v>7</v>
      </c>
      <c r="F109" s="16">
        <f t="shared" ca="1" si="9"/>
        <v>39</v>
      </c>
      <c r="G109" s="16">
        <v>3</v>
      </c>
      <c r="H109" s="16">
        <v>50</v>
      </c>
      <c r="I109" s="16">
        <v>40</v>
      </c>
      <c r="J109" s="16">
        <v>18</v>
      </c>
      <c r="K109" s="16">
        <v>52</v>
      </c>
      <c r="L109" s="16">
        <v>42</v>
      </c>
      <c r="M109" s="16">
        <v>88</v>
      </c>
      <c r="N109" s="16">
        <v>70</v>
      </c>
      <c r="O109" s="16">
        <f t="shared" si="10"/>
        <v>54</v>
      </c>
      <c r="P109" s="16" t="str">
        <f t="shared" si="11"/>
        <v>Fail</v>
      </c>
      <c r="Q109" s="16" t="str">
        <f t="shared" si="12"/>
        <v>C</v>
      </c>
      <c r="R109" s="16">
        <f t="shared" si="13"/>
        <v>1</v>
      </c>
      <c r="S109" s="16" t="str">
        <f t="shared" si="14"/>
        <v>AVERAGE</v>
      </c>
      <c r="T109" s="16"/>
      <c r="U109" s="17" t="str">
        <f t="shared" si="15"/>
        <v>NO</v>
      </c>
    </row>
    <row r="110" spans="1:21" x14ac:dyDescent="0.3">
      <c r="A110" s="12" t="str">
        <f t="shared" si="8"/>
        <v>ST109</v>
      </c>
      <c r="B110" s="13" t="s">
        <v>15</v>
      </c>
      <c r="C110" s="13">
        <v>22</v>
      </c>
      <c r="D110" s="13" t="s">
        <v>18</v>
      </c>
      <c r="E110" s="13">
        <v>7</v>
      </c>
      <c r="F110" s="13">
        <f t="shared" ca="1" si="9"/>
        <v>78</v>
      </c>
      <c r="G110" s="13">
        <v>5.8</v>
      </c>
      <c r="H110" s="13">
        <v>97</v>
      </c>
      <c r="I110" s="13">
        <v>32</v>
      </c>
      <c r="J110" s="13">
        <v>66</v>
      </c>
      <c r="K110" s="13">
        <v>31</v>
      </c>
      <c r="L110" s="13">
        <v>41</v>
      </c>
      <c r="M110" s="13">
        <v>72</v>
      </c>
      <c r="N110" s="13">
        <v>68</v>
      </c>
      <c r="O110" s="13">
        <f t="shared" si="10"/>
        <v>55.600000000000009</v>
      </c>
      <c r="P110" s="13" t="str">
        <f t="shared" si="11"/>
        <v>Fail</v>
      </c>
      <c r="Q110" s="13" t="str">
        <f t="shared" si="12"/>
        <v>C</v>
      </c>
      <c r="R110" s="13">
        <f t="shared" si="13"/>
        <v>1</v>
      </c>
      <c r="S110" s="13" t="str">
        <f t="shared" si="14"/>
        <v>AVERAGE</v>
      </c>
      <c r="T110" s="13"/>
      <c r="U110" s="14" t="str">
        <f t="shared" si="15"/>
        <v>NO</v>
      </c>
    </row>
    <row r="111" spans="1:21" x14ac:dyDescent="0.3">
      <c r="A111" s="15" t="str">
        <f t="shared" si="8"/>
        <v>ST110</v>
      </c>
      <c r="B111" s="16" t="s">
        <v>13</v>
      </c>
      <c r="C111" s="16">
        <v>23</v>
      </c>
      <c r="D111" s="16" t="s">
        <v>16</v>
      </c>
      <c r="E111" s="16">
        <v>8</v>
      </c>
      <c r="F111" s="16">
        <f t="shared" ca="1" si="9"/>
        <v>81</v>
      </c>
      <c r="G111" s="16">
        <v>4</v>
      </c>
      <c r="H111" s="16">
        <v>84</v>
      </c>
      <c r="I111" s="16">
        <v>25</v>
      </c>
      <c r="J111" s="16">
        <v>44</v>
      </c>
      <c r="K111" s="16">
        <v>76</v>
      </c>
      <c r="L111" s="16">
        <v>47</v>
      </c>
      <c r="M111" s="16">
        <v>81</v>
      </c>
      <c r="N111" s="16">
        <v>80</v>
      </c>
      <c r="O111" s="16">
        <f t="shared" si="10"/>
        <v>65.600000000000009</v>
      </c>
      <c r="P111" s="16" t="str">
        <f t="shared" si="11"/>
        <v>Pass</v>
      </c>
      <c r="Q111" s="16" t="str">
        <f t="shared" si="12"/>
        <v>B</v>
      </c>
      <c r="R111" s="16">
        <f t="shared" si="13"/>
        <v>0</v>
      </c>
      <c r="S111" s="16" t="str">
        <f t="shared" si="14"/>
        <v>GOOD</v>
      </c>
      <c r="T111" s="16"/>
      <c r="U111" s="17" t="str">
        <f t="shared" si="15"/>
        <v>YES</v>
      </c>
    </row>
    <row r="112" spans="1:21" x14ac:dyDescent="0.3">
      <c r="A112" s="12" t="str">
        <f t="shared" si="8"/>
        <v>ST111</v>
      </c>
      <c r="B112" s="13" t="s">
        <v>15</v>
      </c>
      <c r="C112" s="13">
        <v>23</v>
      </c>
      <c r="D112" s="13" t="s">
        <v>18</v>
      </c>
      <c r="E112" s="13">
        <v>7</v>
      </c>
      <c r="F112" s="13">
        <f t="shared" ca="1" si="9"/>
        <v>64</v>
      </c>
      <c r="G112" s="13">
        <v>3.1</v>
      </c>
      <c r="H112" s="13">
        <v>62</v>
      </c>
      <c r="I112" s="13">
        <v>45</v>
      </c>
      <c r="J112" s="13">
        <v>27</v>
      </c>
      <c r="K112" s="13">
        <v>86</v>
      </c>
      <c r="L112" s="13">
        <v>85</v>
      </c>
      <c r="M112" s="13">
        <v>93</v>
      </c>
      <c r="N112" s="13">
        <v>62</v>
      </c>
      <c r="O112" s="13">
        <f t="shared" si="10"/>
        <v>70.599999999999994</v>
      </c>
      <c r="P112" s="13" t="str">
        <f t="shared" si="11"/>
        <v>Fail</v>
      </c>
      <c r="Q112" s="13" t="str">
        <f t="shared" si="12"/>
        <v>B</v>
      </c>
      <c r="R112" s="13">
        <f t="shared" si="13"/>
        <v>1</v>
      </c>
      <c r="S112" s="13" t="str">
        <f t="shared" si="14"/>
        <v>GOOD</v>
      </c>
      <c r="T112" s="13"/>
      <c r="U112" s="14" t="str">
        <f t="shared" si="15"/>
        <v>NO</v>
      </c>
    </row>
    <row r="113" spans="1:21" x14ac:dyDescent="0.3">
      <c r="A113" s="15" t="str">
        <f t="shared" si="8"/>
        <v>ST112</v>
      </c>
      <c r="B113" s="16" t="s">
        <v>15</v>
      </c>
      <c r="C113" s="16">
        <v>22</v>
      </c>
      <c r="D113" s="16" t="s">
        <v>14</v>
      </c>
      <c r="E113" s="16">
        <v>8</v>
      </c>
      <c r="F113" s="16">
        <f t="shared" ca="1" si="9"/>
        <v>77</v>
      </c>
      <c r="G113" s="16">
        <v>1.8</v>
      </c>
      <c r="H113" s="16">
        <v>99</v>
      </c>
      <c r="I113" s="16">
        <v>40</v>
      </c>
      <c r="J113" s="16">
        <v>52</v>
      </c>
      <c r="K113" s="16">
        <v>22</v>
      </c>
      <c r="L113" s="16">
        <v>47</v>
      </c>
      <c r="M113" s="16">
        <v>96</v>
      </c>
      <c r="N113" s="16">
        <v>99</v>
      </c>
      <c r="O113" s="16">
        <f t="shared" si="10"/>
        <v>63.2</v>
      </c>
      <c r="P113" s="16" t="str">
        <f t="shared" si="11"/>
        <v>Fail</v>
      </c>
      <c r="Q113" s="16" t="str">
        <f t="shared" si="12"/>
        <v>B</v>
      </c>
      <c r="R113" s="16">
        <f t="shared" si="13"/>
        <v>1</v>
      </c>
      <c r="S113" s="16" t="str">
        <f t="shared" si="14"/>
        <v>GOOD</v>
      </c>
      <c r="T113" s="16"/>
      <c r="U113" s="17" t="str">
        <f t="shared" si="15"/>
        <v>NO</v>
      </c>
    </row>
    <row r="114" spans="1:21" x14ac:dyDescent="0.3">
      <c r="A114" s="12" t="str">
        <f t="shared" si="8"/>
        <v>ST113</v>
      </c>
      <c r="B114" s="13" t="s">
        <v>13</v>
      </c>
      <c r="C114" s="13">
        <v>22</v>
      </c>
      <c r="D114" s="13" t="s">
        <v>18</v>
      </c>
      <c r="E114" s="13">
        <v>8</v>
      </c>
      <c r="F114" s="13">
        <f t="shared" ca="1" si="9"/>
        <v>88</v>
      </c>
      <c r="G114" s="13">
        <v>1.1000000000000001</v>
      </c>
      <c r="H114" s="13">
        <v>82</v>
      </c>
      <c r="I114" s="13">
        <v>26</v>
      </c>
      <c r="J114" s="13">
        <v>93</v>
      </c>
      <c r="K114" s="13">
        <v>58</v>
      </c>
      <c r="L114" s="13">
        <v>55</v>
      </c>
      <c r="M114" s="13">
        <v>97</v>
      </c>
      <c r="N114" s="13">
        <v>56</v>
      </c>
      <c r="O114" s="13">
        <f t="shared" si="10"/>
        <v>71.8</v>
      </c>
      <c r="P114" s="13" t="str">
        <f t="shared" si="11"/>
        <v>Pass</v>
      </c>
      <c r="Q114" s="13" t="str">
        <f t="shared" si="12"/>
        <v>B</v>
      </c>
      <c r="R114" s="13">
        <f t="shared" si="13"/>
        <v>0</v>
      </c>
      <c r="S114" s="13" t="str">
        <f t="shared" si="14"/>
        <v>GOOD</v>
      </c>
      <c r="T114" s="13"/>
      <c r="U114" s="14" t="str">
        <f t="shared" si="15"/>
        <v>YES</v>
      </c>
    </row>
    <row r="115" spans="1:21" x14ac:dyDescent="0.3">
      <c r="A115" s="15" t="str">
        <f t="shared" si="8"/>
        <v>ST114</v>
      </c>
      <c r="B115" s="16" t="s">
        <v>13</v>
      </c>
      <c r="C115" s="16">
        <v>23</v>
      </c>
      <c r="D115" s="16" t="s">
        <v>16</v>
      </c>
      <c r="E115" s="16">
        <v>7</v>
      </c>
      <c r="F115" s="16">
        <f t="shared" ca="1" si="9"/>
        <v>87</v>
      </c>
      <c r="G115" s="16">
        <v>1.7</v>
      </c>
      <c r="H115" s="16">
        <v>73</v>
      </c>
      <c r="I115" s="16">
        <v>43</v>
      </c>
      <c r="J115" s="16">
        <v>90</v>
      </c>
      <c r="K115" s="16">
        <v>49</v>
      </c>
      <c r="L115" s="16">
        <v>86</v>
      </c>
      <c r="M115" s="16">
        <v>88</v>
      </c>
      <c r="N115" s="16">
        <v>35</v>
      </c>
      <c r="O115" s="16">
        <f t="shared" si="10"/>
        <v>69.599999999999994</v>
      </c>
      <c r="P115" s="16" t="str">
        <f t="shared" si="11"/>
        <v>Fail</v>
      </c>
      <c r="Q115" s="16" t="str">
        <f t="shared" si="12"/>
        <v>B</v>
      </c>
      <c r="R115" s="16">
        <f t="shared" si="13"/>
        <v>1</v>
      </c>
      <c r="S115" s="16" t="str">
        <f t="shared" si="14"/>
        <v>GOOD</v>
      </c>
      <c r="T115" s="16"/>
      <c r="U115" s="17" t="str">
        <f t="shared" si="15"/>
        <v>NO</v>
      </c>
    </row>
    <row r="116" spans="1:21" x14ac:dyDescent="0.3">
      <c r="A116" s="12" t="str">
        <f t="shared" si="8"/>
        <v>ST115</v>
      </c>
      <c r="B116" s="13" t="s">
        <v>13</v>
      </c>
      <c r="C116" s="13">
        <v>24</v>
      </c>
      <c r="D116" s="13" t="s">
        <v>18</v>
      </c>
      <c r="E116" s="13">
        <v>7</v>
      </c>
      <c r="F116" s="13">
        <f t="shared" ca="1" si="9"/>
        <v>72</v>
      </c>
      <c r="G116" s="13">
        <v>4.0999999999999996</v>
      </c>
      <c r="H116" s="13">
        <v>54</v>
      </c>
      <c r="I116" s="13">
        <v>32</v>
      </c>
      <c r="J116" s="13">
        <v>30</v>
      </c>
      <c r="K116" s="13">
        <v>58</v>
      </c>
      <c r="L116" s="13">
        <v>71</v>
      </c>
      <c r="M116" s="13">
        <v>91</v>
      </c>
      <c r="N116" s="13">
        <v>79</v>
      </c>
      <c r="O116" s="13">
        <f t="shared" si="10"/>
        <v>65.8</v>
      </c>
      <c r="P116" s="13" t="str">
        <f t="shared" si="11"/>
        <v>Fail</v>
      </c>
      <c r="Q116" s="13" t="str">
        <f t="shared" si="12"/>
        <v>B</v>
      </c>
      <c r="R116" s="13">
        <f t="shared" si="13"/>
        <v>1</v>
      </c>
      <c r="S116" s="13" t="str">
        <f t="shared" si="14"/>
        <v>GOOD</v>
      </c>
      <c r="T116" s="13"/>
      <c r="U116" s="14" t="str">
        <f t="shared" si="15"/>
        <v>NO</v>
      </c>
    </row>
    <row r="117" spans="1:21" x14ac:dyDescent="0.3">
      <c r="A117" s="15" t="str">
        <f t="shared" si="8"/>
        <v>ST116</v>
      </c>
      <c r="B117" s="16" t="s">
        <v>15</v>
      </c>
      <c r="C117" s="16">
        <v>22</v>
      </c>
      <c r="D117" s="16" t="s">
        <v>18</v>
      </c>
      <c r="E117" s="16">
        <v>7</v>
      </c>
      <c r="F117" s="16">
        <f t="shared" ca="1" si="9"/>
        <v>85</v>
      </c>
      <c r="G117" s="16">
        <v>5.9</v>
      </c>
      <c r="H117" s="16">
        <v>73</v>
      </c>
      <c r="I117" s="16">
        <v>47</v>
      </c>
      <c r="J117" s="16">
        <v>38</v>
      </c>
      <c r="K117" s="16">
        <v>83</v>
      </c>
      <c r="L117" s="16">
        <v>66</v>
      </c>
      <c r="M117" s="16">
        <v>87</v>
      </c>
      <c r="N117" s="16">
        <v>42</v>
      </c>
      <c r="O117" s="16">
        <f t="shared" si="10"/>
        <v>63.2</v>
      </c>
      <c r="P117" s="16" t="str">
        <f t="shared" si="11"/>
        <v>Fail</v>
      </c>
      <c r="Q117" s="16" t="str">
        <f t="shared" si="12"/>
        <v>B</v>
      </c>
      <c r="R117" s="16">
        <f t="shared" si="13"/>
        <v>1</v>
      </c>
      <c r="S117" s="16" t="str">
        <f t="shared" si="14"/>
        <v>GOOD</v>
      </c>
      <c r="T117" s="16"/>
      <c r="U117" s="17" t="str">
        <f t="shared" si="15"/>
        <v>NO</v>
      </c>
    </row>
    <row r="118" spans="1:21" x14ac:dyDescent="0.3">
      <c r="A118" s="12" t="str">
        <f t="shared" si="8"/>
        <v>ST117</v>
      </c>
      <c r="B118" s="13" t="s">
        <v>15</v>
      </c>
      <c r="C118" s="13">
        <v>22</v>
      </c>
      <c r="D118" s="13" t="s">
        <v>16</v>
      </c>
      <c r="E118" s="13">
        <v>8</v>
      </c>
      <c r="F118" s="13">
        <f t="shared" ca="1" si="9"/>
        <v>80</v>
      </c>
      <c r="G118" s="13">
        <v>4</v>
      </c>
      <c r="H118" s="13">
        <v>86</v>
      </c>
      <c r="I118" s="13">
        <v>27</v>
      </c>
      <c r="J118" s="13">
        <v>41</v>
      </c>
      <c r="K118" s="13">
        <v>36</v>
      </c>
      <c r="L118" s="13">
        <v>61</v>
      </c>
      <c r="M118" s="13">
        <v>60</v>
      </c>
      <c r="N118" s="13">
        <v>68</v>
      </c>
      <c r="O118" s="13">
        <f t="shared" si="10"/>
        <v>53.2</v>
      </c>
      <c r="P118" s="13" t="str">
        <f t="shared" si="11"/>
        <v>Fail</v>
      </c>
      <c r="Q118" s="13" t="str">
        <f t="shared" si="12"/>
        <v>C</v>
      </c>
      <c r="R118" s="13">
        <f t="shared" si="13"/>
        <v>1</v>
      </c>
      <c r="S118" s="13" t="str">
        <f t="shared" si="14"/>
        <v>AVERAGE</v>
      </c>
      <c r="T118" s="13"/>
      <c r="U118" s="14" t="str">
        <f t="shared" si="15"/>
        <v>NO</v>
      </c>
    </row>
    <row r="119" spans="1:21" x14ac:dyDescent="0.3">
      <c r="A119" s="15" t="str">
        <f t="shared" si="8"/>
        <v>ST118</v>
      </c>
      <c r="B119" s="16" t="s">
        <v>13</v>
      </c>
      <c r="C119" s="16">
        <v>21</v>
      </c>
      <c r="D119" s="16" t="s">
        <v>14</v>
      </c>
      <c r="E119" s="16">
        <v>8</v>
      </c>
      <c r="F119" s="16">
        <f t="shared" ca="1" si="9"/>
        <v>76</v>
      </c>
      <c r="G119" s="16">
        <v>2.2999999999999998</v>
      </c>
      <c r="H119" s="16">
        <v>95</v>
      </c>
      <c r="I119" s="16">
        <v>36</v>
      </c>
      <c r="J119" s="16">
        <v>75</v>
      </c>
      <c r="K119" s="16">
        <v>70</v>
      </c>
      <c r="L119" s="16">
        <v>90</v>
      </c>
      <c r="M119" s="16">
        <v>78</v>
      </c>
      <c r="N119" s="16">
        <v>94</v>
      </c>
      <c r="O119" s="16">
        <f t="shared" si="10"/>
        <v>81.399999999999991</v>
      </c>
      <c r="P119" s="16" t="str">
        <f t="shared" si="11"/>
        <v>Pass</v>
      </c>
      <c r="Q119" s="16" t="str">
        <f t="shared" si="12"/>
        <v>A</v>
      </c>
      <c r="R119" s="16">
        <f t="shared" si="13"/>
        <v>0</v>
      </c>
      <c r="S119" s="16" t="str">
        <f t="shared" si="14"/>
        <v>EXCELLENT</v>
      </c>
      <c r="T119" s="16"/>
      <c r="U119" s="17" t="str">
        <f t="shared" si="15"/>
        <v>YES</v>
      </c>
    </row>
    <row r="120" spans="1:21" x14ac:dyDescent="0.3">
      <c r="A120" s="12" t="str">
        <f t="shared" si="8"/>
        <v>ST119</v>
      </c>
      <c r="B120" s="13" t="s">
        <v>13</v>
      </c>
      <c r="C120" s="13">
        <v>21</v>
      </c>
      <c r="D120" s="13" t="s">
        <v>17</v>
      </c>
      <c r="E120" s="13">
        <v>7</v>
      </c>
      <c r="F120" s="13">
        <f t="shared" ca="1" si="9"/>
        <v>87</v>
      </c>
      <c r="G120" s="13">
        <v>1.9</v>
      </c>
      <c r="H120" s="13">
        <v>81</v>
      </c>
      <c r="I120" s="13">
        <v>26</v>
      </c>
      <c r="J120" s="13">
        <v>41</v>
      </c>
      <c r="K120" s="13">
        <v>10</v>
      </c>
      <c r="L120" s="13">
        <v>86</v>
      </c>
      <c r="M120" s="13">
        <v>84</v>
      </c>
      <c r="N120" s="13">
        <v>58</v>
      </c>
      <c r="O120" s="13">
        <f t="shared" si="10"/>
        <v>55.800000000000004</v>
      </c>
      <c r="P120" s="13" t="str">
        <f t="shared" si="11"/>
        <v>Fail</v>
      </c>
      <c r="Q120" s="13" t="str">
        <f t="shared" si="12"/>
        <v>C</v>
      </c>
      <c r="R120" s="13">
        <f t="shared" si="13"/>
        <v>1</v>
      </c>
      <c r="S120" s="13" t="str">
        <f t="shared" si="14"/>
        <v>AVERAGE</v>
      </c>
      <c r="T120" s="13"/>
      <c r="U120" s="14" t="str">
        <f t="shared" si="15"/>
        <v>NO</v>
      </c>
    </row>
    <row r="121" spans="1:21" x14ac:dyDescent="0.3">
      <c r="A121" s="15" t="str">
        <f t="shared" si="8"/>
        <v>ST120</v>
      </c>
      <c r="B121" s="16" t="s">
        <v>15</v>
      </c>
      <c r="C121" s="16">
        <v>24</v>
      </c>
      <c r="D121" s="16" t="s">
        <v>14</v>
      </c>
      <c r="E121" s="16">
        <v>8</v>
      </c>
      <c r="F121" s="16">
        <f t="shared" ca="1" si="9"/>
        <v>86</v>
      </c>
      <c r="G121" s="16">
        <v>5.9</v>
      </c>
      <c r="H121" s="16">
        <v>84</v>
      </c>
      <c r="I121" s="16">
        <v>46</v>
      </c>
      <c r="J121" s="16">
        <v>24</v>
      </c>
      <c r="K121" s="16">
        <v>68</v>
      </c>
      <c r="L121" s="16">
        <v>22</v>
      </c>
      <c r="M121" s="16">
        <v>83</v>
      </c>
      <c r="N121" s="16">
        <v>93</v>
      </c>
      <c r="O121" s="16">
        <f t="shared" si="10"/>
        <v>57.999999999999993</v>
      </c>
      <c r="P121" s="16" t="str">
        <f t="shared" si="11"/>
        <v>Fail</v>
      </c>
      <c r="Q121" s="16" t="str">
        <f t="shared" si="12"/>
        <v>C</v>
      </c>
      <c r="R121" s="16">
        <f t="shared" si="13"/>
        <v>2</v>
      </c>
      <c r="S121" s="16" t="str">
        <f t="shared" si="14"/>
        <v>AVERAGE</v>
      </c>
      <c r="T121" s="16"/>
      <c r="U121" s="17" t="str">
        <f t="shared" si="15"/>
        <v>NO</v>
      </c>
    </row>
    <row r="122" spans="1:21" x14ac:dyDescent="0.3">
      <c r="A122" s="12" t="str">
        <f t="shared" si="8"/>
        <v>ST121</v>
      </c>
      <c r="B122" s="13" t="s">
        <v>15</v>
      </c>
      <c r="C122" s="13">
        <v>23</v>
      </c>
      <c r="D122" s="13" t="s">
        <v>14</v>
      </c>
      <c r="E122" s="13">
        <v>8</v>
      </c>
      <c r="F122" s="13">
        <f t="shared" ca="1" si="9"/>
        <v>64</v>
      </c>
      <c r="G122" s="13">
        <v>4.5999999999999996</v>
      </c>
      <c r="H122" s="13">
        <v>68</v>
      </c>
      <c r="I122" s="13">
        <v>34</v>
      </c>
      <c r="J122" s="13">
        <v>27</v>
      </c>
      <c r="K122" s="13">
        <v>32</v>
      </c>
      <c r="L122" s="13">
        <v>57</v>
      </c>
      <c r="M122" s="13">
        <v>73</v>
      </c>
      <c r="N122" s="13">
        <v>34</v>
      </c>
      <c r="O122" s="13">
        <f t="shared" si="10"/>
        <v>44.6</v>
      </c>
      <c r="P122" s="13" t="str">
        <f t="shared" si="11"/>
        <v>Fail</v>
      </c>
      <c r="Q122" s="13" t="str">
        <f t="shared" si="12"/>
        <v>D</v>
      </c>
      <c r="R122" s="13">
        <f t="shared" si="13"/>
        <v>3</v>
      </c>
      <c r="S122" s="13" t="str">
        <f t="shared" si="14"/>
        <v>AVERAGE</v>
      </c>
      <c r="T122" s="13"/>
      <c r="U122" s="14" t="str">
        <f t="shared" si="15"/>
        <v>NO</v>
      </c>
    </row>
    <row r="123" spans="1:21" x14ac:dyDescent="0.3">
      <c r="A123" s="15" t="str">
        <f t="shared" si="8"/>
        <v>ST122</v>
      </c>
      <c r="B123" s="16" t="s">
        <v>15</v>
      </c>
      <c r="C123" s="16">
        <v>23</v>
      </c>
      <c r="D123" s="16" t="s">
        <v>14</v>
      </c>
      <c r="E123" s="16">
        <v>7</v>
      </c>
      <c r="F123" s="16">
        <f t="shared" ca="1" si="9"/>
        <v>86</v>
      </c>
      <c r="G123" s="16">
        <v>5.3</v>
      </c>
      <c r="H123" s="16">
        <v>71</v>
      </c>
      <c r="I123" s="16">
        <v>35</v>
      </c>
      <c r="J123" s="16">
        <v>35</v>
      </c>
      <c r="K123" s="16">
        <v>30</v>
      </c>
      <c r="L123" s="16">
        <v>37</v>
      </c>
      <c r="M123" s="16">
        <v>93</v>
      </c>
      <c r="N123" s="16">
        <v>84</v>
      </c>
      <c r="O123" s="16">
        <f t="shared" si="10"/>
        <v>55.800000000000004</v>
      </c>
      <c r="P123" s="16" t="str">
        <f t="shared" si="11"/>
        <v>Fail</v>
      </c>
      <c r="Q123" s="16" t="str">
        <f t="shared" si="12"/>
        <v>C</v>
      </c>
      <c r="R123" s="16">
        <f t="shared" si="13"/>
        <v>3</v>
      </c>
      <c r="S123" s="16" t="str">
        <f t="shared" si="14"/>
        <v>AVERAGE</v>
      </c>
      <c r="T123" s="16"/>
      <c r="U123" s="17" t="str">
        <f t="shared" si="15"/>
        <v>NO</v>
      </c>
    </row>
    <row r="124" spans="1:21" x14ac:dyDescent="0.3">
      <c r="A124" s="12" t="str">
        <f t="shared" si="8"/>
        <v>ST123</v>
      </c>
      <c r="B124" s="13" t="s">
        <v>15</v>
      </c>
      <c r="C124" s="13">
        <v>23</v>
      </c>
      <c r="D124" s="13" t="s">
        <v>17</v>
      </c>
      <c r="E124" s="13">
        <v>8</v>
      </c>
      <c r="F124" s="13">
        <f t="shared" ca="1" si="9"/>
        <v>94</v>
      </c>
      <c r="G124" s="13">
        <v>1.7</v>
      </c>
      <c r="H124" s="13">
        <v>96</v>
      </c>
      <c r="I124" s="13">
        <v>39</v>
      </c>
      <c r="J124" s="13">
        <v>51</v>
      </c>
      <c r="K124" s="13">
        <v>71</v>
      </c>
      <c r="L124" s="13">
        <v>78</v>
      </c>
      <c r="M124" s="13">
        <v>97</v>
      </c>
      <c r="N124" s="13">
        <v>39</v>
      </c>
      <c r="O124" s="13">
        <f t="shared" si="10"/>
        <v>67.2</v>
      </c>
      <c r="P124" s="13" t="str">
        <f t="shared" si="11"/>
        <v>Fail</v>
      </c>
      <c r="Q124" s="13" t="str">
        <f t="shared" si="12"/>
        <v>B</v>
      </c>
      <c r="R124" s="13">
        <f t="shared" si="13"/>
        <v>1</v>
      </c>
      <c r="S124" s="13" t="str">
        <f t="shared" si="14"/>
        <v>GOOD</v>
      </c>
      <c r="T124" s="13"/>
      <c r="U124" s="14" t="str">
        <f t="shared" si="15"/>
        <v>NO</v>
      </c>
    </row>
    <row r="125" spans="1:21" x14ac:dyDescent="0.3">
      <c r="A125" s="15" t="str">
        <f t="shared" si="8"/>
        <v>ST124</v>
      </c>
      <c r="B125" s="16" t="s">
        <v>13</v>
      </c>
      <c r="C125" s="16">
        <v>24</v>
      </c>
      <c r="D125" s="16" t="s">
        <v>18</v>
      </c>
      <c r="E125" s="16">
        <v>8</v>
      </c>
      <c r="F125" s="16">
        <f t="shared" ca="1" si="9"/>
        <v>81</v>
      </c>
      <c r="G125" s="16">
        <v>1.5</v>
      </c>
      <c r="H125" s="16">
        <v>90</v>
      </c>
      <c r="I125" s="16">
        <v>19</v>
      </c>
      <c r="J125" s="16">
        <v>20</v>
      </c>
      <c r="K125" s="16">
        <v>62</v>
      </c>
      <c r="L125" s="16">
        <v>27</v>
      </c>
      <c r="M125" s="16">
        <v>90</v>
      </c>
      <c r="N125" s="16">
        <v>41</v>
      </c>
      <c r="O125" s="16">
        <f t="shared" si="10"/>
        <v>48</v>
      </c>
      <c r="P125" s="16" t="str">
        <f t="shared" si="11"/>
        <v>Fail</v>
      </c>
      <c r="Q125" s="16" t="str">
        <f t="shared" si="12"/>
        <v>D</v>
      </c>
      <c r="R125" s="16">
        <f t="shared" si="13"/>
        <v>2</v>
      </c>
      <c r="S125" s="16" t="str">
        <f t="shared" si="14"/>
        <v>AVERAGE</v>
      </c>
      <c r="T125" s="16"/>
      <c r="U125" s="17" t="str">
        <f t="shared" si="15"/>
        <v>NO</v>
      </c>
    </row>
    <row r="126" spans="1:21" x14ac:dyDescent="0.3">
      <c r="A126" s="12" t="str">
        <f t="shared" si="8"/>
        <v>ST125</v>
      </c>
      <c r="B126" s="13" t="s">
        <v>15</v>
      </c>
      <c r="C126" s="13">
        <v>21</v>
      </c>
      <c r="D126" s="13" t="s">
        <v>17</v>
      </c>
      <c r="E126" s="13">
        <v>8</v>
      </c>
      <c r="F126" s="13">
        <f t="shared" ca="1" si="9"/>
        <v>95</v>
      </c>
      <c r="G126" s="13">
        <v>1.1000000000000001</v>
      </c>
      <c r="H126" s="13">
        <v>76</v>
      </c>
      <c r="I126" s="13">
        <v>49</v>
      </c>
      <c r="J126" s="13">
        <v>11</v>
      </c>
      <c r="K126" s="13">
        <v>73</v>
      </c>
      <c r="L126" s="13">
        <v>53</v>
      </c>
      <c r="M126" s="13">
        <v>90</v>
      </c>
      <c r="N126" s="13">
        <v>69</v>
      </c>
      <c r="O126" s="13">
        <f t="shared" si="10"/>
        <v>59.199999999999996</v>
      </c>
      <c r="P126" s="13" t="str">
        <f t="shared" si="11"/>
        <v>Fail</v>
      </c>
      <c r="Q126" s="13" t="str">
        <f t="shared" si="12"/>
        <v>C</v>
      </c>
      <c r="R126" s="13">
        <f t="shared" si="13"/>
        <v>1</v>
      </c>
      <c r="S126" s="13" t="str">
        <f t="shared" si="14"/>
        <v>AVERAGE</v>
      </c>
      <c r="T126" s="13"/>
      <c r="U126" s="14" t="str">
        <f t="shared" si="15"/>
        <v>NO</v>
      </c>
    </row>
    <row r="127" spans="1:21" x14ac:dyDescent="0.3">
      <c r="A127" s="15" t="str">
        <f t="shared" si="8"/>
        <v>ST126</v>
      </c>
      <c r="B127" s="16" t="s">
        <v>15</v>
      </c>
      <c r="C127" s="16">
        <v>21</v>
      </c>
      <c r="D127" s="16" t="s">
        <v>18</v>
      </c>
      <c r="E127" s="16">
        <v>7</v>
      </c>
      <c r="F127" s="16">
        <f t="shared" ca="1" si="9"/>
        <v>89</v>
      </c>
      <c r="G127" s="16">
        <v>3.8</v>
      </c>
      <c r="H127" s="16">
        <v>80</v>
      </c>
      <c r="I127" s="16">
        <v>47</v>
      </c>
      <c r="J127" s="16">
        <v>68</v>
      </c>
      <c r="K127" s="16">
        <v>95</v>
      </c>
      <c r="L127" s="16">
        <v>53</v>
      </c>
      <c r="M127" s="16">
        <v>96</v>
      </c>
      <c r="N127" s="16">
        <v>63</v>
      </c>
      <c r="O127" s="16">
        <f t="shared" si="10"/>
        <v>75</v>
      </c>
      <c r="P127" s="16" t="str">
        <f t="shared" si="11"/>
        <v>Pass</v>
      </c>
      <c r="Q127" s="16" t="str">
        <f t="shared" si="12"/>
        <v>B</v>
      </c>
      <c r="R127" s="16">
        <f t="shared" si="13"/>
        <v>0</v>
      </c>
      <c r="S127" s="16" t="str">
        <f t="shared" si="14"/>
        <v>GOOD</v>
      </c>
      <c r="T127" s="16"/>
      <c r="U127" s="17" t="str">
        <f t="shared" si="15"/>
        <v>YES</v>
      </c>
    </row>
    <row r="128" spans="1:21" x14ac:dyDescent="0.3">
      <c r="A128" s="12" t="str">
        <f t="shared" si="8"/>
        <v>ST127</v>
      </c>
      <c r="B128" s="13" t="s">
        <v>13</v>
      </c>
      <c r="C128" s="13">
        <v>22</v>
      </c>
      <c r="D128" s="13" t="s">
        <v>18</v>
      </c>
      <c r="E128" s="13">
        <v>8</v>
      </c>
      <c r="F128" s="13">
        <f t="shared" ca="1" si="9"/>
        <v>81</v>
      </c>
      <c r="G128" s="13">
        <v>2.2000000000000002</v>
      </c>
      <c r="H128" s="13">
        <v>95</v>
      </c>
      <c r="I128" s="13">
        <v>33</v>
      </c>
      <c r="J128" s="13">
        <v>14</v>
      </c>
      <c r="K128" s="13">
        <v>74</v>
      </c>
      <c r="L128" s="13">
        <v>61</v>
      </c>
      <c r="M128" s="13">
        <v>69</v>
      </c>
      <c r="N128" s="13">
        <v>56</v>
      </c>
      <c r="O128" s="13">
        <f t="shared" si="10"/>
        <v>54.800000000000004</v>
      </c>
      <c r="P128" s="13" t="str">
        <f t="shared" si="11"/>
        <v>Fail</v>
      </c>
      <c r="Q128" s="13" t="str">
        <f t="shared" si="12"/>
        <v>C</v>
      </c>
      <c r="R128" s="13">
        <f t="shared" si="13"/>
        <v>1</v>
      </c>
      <c r="S128" s="13" t="str">
        <f t="shared" si="14"/>
        <v>AVERAGE</v>
      </c>
      <c r="T128" s="13"/>
      <c r="U128" s="14" t="str">
        <f t="shared" si="15"/>
        <v>NO</v>
      </c>
    </row>
    <row r="129" spans="1:21" x14ac:dyDescent="0.3">
      <c r="A129" s="15" t="str">
        <f t="shared" si="8"/>
        <v>ST128</v>
      </c>
      <c r="B129" s="16" t="s">
        <v>15</v>
      </c>
      <c r="C129" s="16">
        <v>24</v>
      </c>
      <c r="D129" s="16" t="s">
        <v>14</v>
      </c>
      <c r="E129" s="16">
        <v>8</v>
      </c>
      <c r="F129" s="16">
        <f t="shared" ca="1" si="9"/>
        <v>76</v>
      </c>
      <c r="G129" s="16">
        <v>3</v>
      </c>
      <c r="H129" s="16">
        <v>86</v>
      </c>
      <c r="I129" s="16">
        <v>37</v>
      </c>
      <c r="J129" s="16">
        <v>88</v>
      </c>
      <c r="K129" s="16">
        <v>91</v>
      </c>
      <c r="L129" s="16">
        <v>56</v>
      </c>
      <c r="M129" s="16">
        <v>98</v>
      </c>
      <c r="N129" s="16">
        <v>55</v>
      </c>
      <c r="O129" s="16">
        <f t="shared" si="10"/>
        <v>77.600000000000009</v>
      </c>
      <c r="P129" s="16" t="str">
        <f t="shared" si="11"/>
        <v>Pass</v>
      </c>
      <c r="Q129" s="16" t="str">
        <f t="shared" si="12"/>
        <v>B</v>
      </c>
      <c r="R129" s="16">
        <f t="shared" si="13"/>
        <v>0</v>
      </c>
      <c r="S129" s="16" t="str">
        <f t="shared" si="14"/>
        <v>GOOD</v>
      </c>
      <c r="T129" s="16"/>
      <c r="U129" s="17" t="str">
        <f t="shared" si="15"/>
        <v>YES</v>
      </c>
    </row>
    <row r="130" spans="1:21" x14ac:dyDescent="0.3">
      <c r="A130" s="12" t="str">
        <f t="shared" si="8"/>
        <v>ST129</v>
      </c>
      <c r="B130" s="13" t="s">
        <v>15</v>
      </c>
      <c r="C130" s="13">
        <v>21</v>
      </c>
      <c r="D130" s="13" t="s">
        <v>14</v>
      </c>
      <c r="E130" s="13">
        <v>7</v>
      </c>
      <c r="F130" s="13">
        <f t="shared" ca="1" si="9"/>
        <v>79</v>
      </c>
      <c r="G130" s="13">
        <v>2.4</v>
      </c>
      <c r="H130" s="13">
        <v>87</v>
      </c>
      <c r="I130" s="13">
        <v>44</v>
      </c>
      <c r="J130" s="13">
        <v>20</v>
      </c>
      <c r="K130" s="13">
        <v>14</v>
      </c>
      <c r="L130" s="13">
        <v>84</v>
      </c>
      <c r="M130" s="13">
        <v>69</v>
      </c>
      <c r="N130" s="13">
        <v>91</v>
      </c>
      <c r="O130" s="13">
        <f t="shared" si="10"/>
        <v>55.600000000000009</v>
      </c>
      <c r="P130" s="13" t="str">
        <f t="shared" si="11"/>
        <v>Fail</v>
      </c>
      <c r="Q130" s="13" t="str">
        <f t="shared" si="12"/>
        <v>C</v>
      </c>
      <c r="R130" s="13">
        <f t="shared" si="13"/>
        <v>2</v>
      </c>
      <c r="S130" s="13" t="str">
        <f t="shared" si="14"/>
        <v>AVERAGE</v>
      </c>
      <c r="T130" s="13"/>
      <c r="U130" s="14" t="str">
        <f t="shared" si="15"/>
        <v>NO</v>
      </c>
    </row>
    <row r="131" spans="1:21" x14ac:dyDescent="0.3">
      <c r="A131" s="15" t="str">
        <f t="shared" ref="A131:A194" si="16">"ST"&amp;TEXT(ROW()-1,"000")</f>
        <v>ST130</v>
      </c>
      <c r="B131" s="16" t="s">
        <v>13</v>
      </c>
      <c r="C131" s="16">
        <v>21</v>
      </c>
      <c r="D131" s="16" t="s">
        <v>14</v>
      </c>
      <c r="E131" s="16">
        <v>7</v>
      </c>
      <c r="F131" s="16">
        <f t="shared" ref="F131:F194" ca="1" si="17">IF(H131&gt;70,RANDBETWEEN(75,95),IF(H131&gt;50,RANDBETWEEN(40,75),RANDBETWEEN(20,40)))</f>
        <v>90</v>
      </c>
      <c r="G131" s="16">
        <v>3.2</v>
      </c>
      <c r="H131" s="16">
        <v>98</v>
      </c>
      <c r="I131" s="16">
        <v>38</v>
      </c>
      <c r="J131" s="16">
        <v>46</v>
      </c>
      <c r="K131" s="16">
        <v>24</v>
      </c>
      <c r="L131" s="16">
        <v>66</v>
      </c>
      <c r="M131" s="16">
        <v>95</v>
      </c>
      <c r="N131" s="16">
        <v>38</v>
      </c>
      <c r="O131" s="16">
        <f t="shared" ref="O131:O194" si="18">SUM(J131:N131)/500*100</f>
        <v>53.800000000000004</v>
      </c>
      <c r="P131" s="16" t="str">
        <f t="shared" ref="P131:P194" si="19">IF(AND(J131&gt;=40,K131&gt;=40,L131&gt;=40,M131&gt;=40,N131&gt;=40),"Pass","Fail")</f>
        <v>Fail</v>
      </c>
      <c r="Q131" s="16" t="str">
        <f t="shared" ref="Q131:Q194" si="20">IF(O131&gt;90,"O",IF(O131&gt;80,"A",IF(O131&gt;60,"B",IF(O131&gt;50,"C","D"))))</f>
        <v>C</v>
      </c>
      <c r="R131" s="16">
        <f t="shared" ref="R131:R194" si="21">COUNTIF(J131:N131,"&lt;40")</f>
        <v>2</v>
      </c>
      <c r="S131" s="16" t="str">
        <f t="shared" ref="S131:S194" si="22">IF(O131&gt;=80,"EXCELLENT",IF(O131&gt;=60,"GOOD",IF(O131&gt;=40,"AVERAGE",IF(O131&lt;40,"POOR"))))</f>
        <v>AVERAGE</v>
      </c>
      <c r="T131" s="16"/>
      <c r="U131" s="17" t="str">
        <f t="shared" ref="U131:U194" si="23">IF(R131=0,"YES", "NO")</f>
        <v>NO</v>
      </c>
    </row>
    <row r="132" spans="1:21" x14ac:dyDescent="0.3">
      <c r="A132" s="12" t="str">
        <f t="shared" si="16"/>
        <v>ST131</v>
      </c>
      <c r="B132" s="13" t="s">
        <v>15</v>
      </c>
      <c r="C132" s="13">
        <v>24</v>
      </c>
      <c r="D132" s="13" t="s">
        <v>16</v>
      </c>
      <c r="E132" s="13">
        <v>7</v>
      </c>
      <c r="F132" s="13">
        <f t="shared" ca="1" si="17"/>
        <v>91</v>
      </c>
      <c r="G132" s="13">
        <v>2.6</v>
      </c>
      <c r="H132" s="13">
        <v>100</v>
      </c>
      <c r="I132" s="13">
        <v>18</v>
      </c>
      <c r="J132" s="13">
        <v>20</v>
      </c>
      <c r="K132" s="13">
        <v>41</v>
      </c>
      <c r="L132" s="13">
        <v>48</v>
      </c>
      <c r="M132" s="13">
        <v>57</v>
      </c>
      <c r="N132" s="13">
        <v>68</v>
      </c>
      <c r="O132" s="13">
        <f t="shared" si="18"/>
        <v>46.800000000000004</v>
      </c>
      <c r="P132" s="13" t="str">
        <f t="shared" si="19"/>
        <v>Fail</v>
      </c>
      <c r="Q132" s="13" t="str">
        <f t="shared" si="20"/>
        <v>D</v>
      </c>
      <c r="R132" s="13">
        <f t="shared" si="21"/>
        <v>1</v>
      </c>
      <c r="S132" s="13" t="str">
        <f t="shared" si="22"/>
        <v>AVERAGE</v>
      </c>
      <c r="T132" s="13"/>
      <c r="U132" s="14" t="str">
        <f t="shared" si="23"/>
        <v>NO</v>
      </c>
    </row>
    <row r="133" spans="1:21" x14ac:dyDescent="0.3">
      <c r="A133" s="15" t="str">
        <f t="shared" si="16"/>
        <v>ST132</v>
      </c>
      <c r="B133" s="16" t="s">
        <v>15</v>
      </c>
      <c r="C133" s="16">
        <v>23</v>
      </c>
      <c r="D133" s="16" t="s">
        <v>18</v>
      </c>
      <c r="E133" s="16">
        <v>7</v>
      </c>
      <c r="F133" s="16">
        <f t="shared" ca="1" si="17"/>
        <v>82</v>
      </c>
      <c r="G133" s="16">
        <v>4.5999999999999996</v>
      </c>
      <c r="H133" s="16">
        <v>73</v>
      </c>
      <c r="I133" s="16">
        <v>21</v>
      </c>
      <c r="J133" s="16">
        <v>21</v>
      </c>
      <c r="K133" s="16">
        <v>43</v>
      </c>
      <c r="L133" s="16">
        <v>50</v>
      </c>
      <c r="M133" s="16">
        <v>50</v>
      </c>
      <c r="N133" s="16">
        <v>47</v>
      </c>
      <c r="O133" s="16">
        <f t="shared" si="18"/>
        <v>42.199999999999996</v>
      </c>
      <c r="P133" s="16" t="str">
        <f t="shared" si="19"/>
        <v>Fail</v>
      </c>
      <c r="Q133" s="16" t="str">
        <f t="shared" si="20"/>
        <v>D</v>
      </c>
      <c r="R133" s="16">
        <f t="shared" si="21"/>
        <v>1</v>
      </c>
      <c r="S133" s="16" t="str">
        <f t="shared" si="22"/>
        <v>AVERAGE</v>
      </c>
      <c r="T133" s="16"/>
      <c r="U133" s="17" t="str">
        <f t="shared" si="23"/>
        <v>NO</v>
      </c>
    </row>
    <row r="134" spans="1:21" x14ac:dyDescent="0.3">
      <c r="A134" s="12" t="str">
        <f t="shared" si="16"/>
        <v>ST133</v>
      </c>
      <c r="B134" s="13" t="s">
        <v>13</v>
      </c>
      <c r="C134" s="13">
        <v>21</v>
      </c>
      <c r="D134" s="13" t="s">
        <v>18</v>
      </c>
      <c r="E134" s="13">
        <v>7</v>
      </c>
      <c r="F134" s="13">
        <f t="shared" ca="1" si="17"/>
        <v>91</v>
      </c>
      <c r="G134" s="13">
        <v>2.8</v>
      </c>
      <c r="H134" s="13">
        <v>93</v>
      </c>
      <c r="I134" s="13">
        <v>47</v>
      </c>
      <c r="J134" s="13">
        <v>70</v>
      </c>
      <c r="K134" s="13">
        <v>35</v>
      </c>
      <c r="L134" s="13">
        <v>67</v>
      </c>
      <c r="M134" s="13">
        <v>88</v>
      </c>
      <c r="N134" s="13">
        <v>64</v>
      </c>
      <c r="O134" s="13">
        <f t="shared" si="18"/>
        <v>64.8</v>
      </c>
      <c r="P134" s="13" t="str">
        <f t="shared" si="19"/>
        <v>Fail</v>
      </c>
      <c r="Q134" s="13" t="str">
        <f t="shared" si="20"/>
        <v>B</v>
      </c>
      <c r="R134" s="13">
        <f t="shared" si="21"/>
        <v>1</v>
      </c>
      <c r="S134" s="13" t="str">
        <f t="shared" si="22"/>
        <v>GOOD</v>
      </c>
      <c r="T134" s="13"/>
      <c r="U134" s="14" t="str">
        <f t="shared" si="23"/>
        <v>NO</v>
      </c>
    </row>
    <row r="135" spans="1:21" x14ac:dyDescent="0.3">
      <c r="A135" s="15" t="str">
        <f t="shared" si="16"/>
        <v>ST134</v>
      </c>
      <c r="B135" s="16" t="s">
        <v>15</v>
      </c>
      <c r="C135" s="16">
        <v>22</v>
      </c>
      <c r="D135" s="16" t="s">
        <v>14</v>
      </c>
      <c r="E135" s="16">
        <v>7</v>
      </c>
      <c r="F135" s="16">
        <f t="shared" ca="1" si="17"/>
        <v>90</v>
      </c>
      <c r="G135" s="16">
        <v>4.2</v>
      </c>
      <c r="H135" s="16">
        <v>87</v>
      </c>
      <c r="I135" s="16">
        <v>29</v>
      </c>
      <c r="J135" s="16">
        <v>57</v>
      </c>
      <c r="K135" s="16">
        <v>39</v>
      </c>
      <c r="L135" s="16">
        <v>31</v>
      </c>
      <c r="M135" s="16">
        <v>74</v>
      </c>
      <c r="N135" s="16">
        <v>75</v>
      </c>
      <c r="O135" s="16">
        <f t="shared" si="18"/>
        <v>55.2</v>
      </c>
      <c r="P135" s="16" t="str">
        <f t="shared" si="19"/>
        <v>Fail</v>
      </c>
      <c r="Q135" s="16" t="str">
        <f t="shared" si="20"/>
        <v>C</v>
      </c>
      <c r="R135" s="16">
        <f t="shared" si="21"/>
        <v>2</v>
      </c>
      <c r="S135" s="16" t="str">
        <f t="shared" si="22"/>
        <v>AVERAGE</v>
      </c>
      <c r="T135" s="16"/>
      <c r="U135" s="17" t="str">
        <f t="shared" si="23"/>
        <v>NO</v>
      </c>
    </row>
    <row r="136" spans="1:21" x14ac:dyDescent="0.3">
      <c r="A136" s="12" t="str">
        <f t="shared" si="16"/>
        <v>ST135</v>
      </c>
      <c r="B136" s="13" t="s">
        <v>13</v>
      </c>
      <c r="C136" s="13">
        <v>21</v>
      </c>
      <c r="D136" s="13" t="s">
        <v>16</v>
      </c>
      <c r="E136" s="13">
        <v>7</v>
      </c>
      <c r="F136" s="13">
        <f t="shared" ca="1" si="17"/>
        <v>95</v>
      </c>
      <c r="G136" s="13">
        <v>4.0999999999999996</v>
      </c>
      <c r="H136" s="13">
        <v>91</v>
      </c>
      <c r="I136" s="13">
        <v>22</v>
      </c>
      <c r="J136" s="13">
        <v>36</v>
      </c>
      <c r="K136" s="13">
        <v>25</v>
      </c>
      <c r="L136" s="13">
        <v>83</v>
      </c>
      <c r="M136" s="13">
        <v>100</v>
      </c>
      <c r="N136" s="13">
        <v>52</v>
      </c>
      <c r="O136" s="13">
        <f t="shared" si="18"/>
        <v>59.199999999999996</v>
      </c>
      <c r="P136" s="13" t="str">
        <f t="shared" si="19"/>
        <v>Fail</v>
      </c>
      <c r="Q136" s="13" t="str">
        <f t="shared" si="20"/>
        <v>C</v>
      </c>
      <c r="R136" s="13">
        <f t="shared" si="21"/>
        <v>2</v>
      </c>
      <c r="S136" s="13" t="str">
        <f t="shared" si="22"/>
        <v>AVERAGE</v>
      </c>
      <c r="T136" s="13"/>
      <c r="U136" s="14" t="str">
        <f t="shared" si="23"/>
        <v>NO</v>
      </c>
    </row>
    <row r="137" spans="1:21" x14ac:dyDescent="0.3">
      <c r="A137" s="15" t="str">
        <f t="shared" si="16"/>
        <v>ST136</v>
      </c>
      <c r="B137" s="16" t="s">
        <v>15</v>
      </c>
      <c r="C137" s="16">
        <v>21</v>
      </c>
      <c r="D137" s="16" t="s">
        <v>18</v>
      </c>
      <c r="E137" s="16">
        <v>7</v>
      </c>
      <c r="F137" s="16">
        <f t="shared" ca="1" si="17"/>
        <v>80</v>
      </c>
      <c r="G137" s="16">
        <v>5.9</v>
      </c>
      <c r="H137" s="16">
        <v>94</v>
      </c>
      <c r="I137" s="16">
        <v>19</v>
      </c>
      <c r="J137" s="16">
        <v>51</v>
      </c>
      <c r="K137" s="16">
        <v>86</v>
      </c>
      <c r="L137" s="16">
        <v>82</v>
      </c>
      <c r="M137" s="16">
        <v>82</v>
      </c>
      <c r="N137" s="16">
        <v>67</v>
      </c>
      <c r="O137" s="16">
        <f t="shared" si="18"/>
        <v>73.599999999999994</v>
      </c>
      <c r="P137" s="16" t="str">
        <f t="shared" si="19"/>
        <v>Pass</v>
      </c>
      <c r="Q137" s="16" t="str">
        <f t="shared" si="20"/>
        <v>B</v>
      </c>
      <c r="R137" s="16">
        <f t="shared" si="21"/>
        <v>0</v>
      </c>
      <c r="S137" s="16" t="str">
        <f t="shared" si="22"/>
        <v>GOOD</v>
      </c>
      <c r="T137" s="16"/>
      <c r="U137" s="17" t="str">
        <f t="shared" si="23"/>
        <v>YES</v>
      </c>
    </row>
    <row r="138" spans="1:21" x14ac:dyDescent="0.3">
      <c r="A138" s="12" t="str">
        <f t="shared" si="16"/>
        <v>ST137</v>
      </c>
      <c r="B138" s="13" t="s">
        <v>13</v>
      </c>
      <c r="C138" s="13">
        <v>21</v>
      </c>
      <c r="D138" s="13" t="s">
        <v>18</v>
      </c>
      <c r="E138" s="13">
        <v>7</v>
      </c>
      <c r="F138" s="13">
        <f t="shared" ca="1" si="17"/>
        <v>93</v>
      </c>
      <c r="G138" s="13">
        <v>2.9</v>
      </c>
      <c r="H138" s="13">
        <v>92</v>
      </c>
      <c r="I138" s="13">
        <v>31</v>
      </c>
      <c r="J138" s="13">
        <v>32</v>
      </c>
      <c r="K138" s="13">
        <v>89</v>
      </c>
      <c r="L138" s="13">
        <v>23</v>
      </c>
      <c r="M138" s="13">
        <v>80</v>
      </c>
      <c r="N138" s="13">
        <v>34</v>
      </c>
      <c r="O138" s="13">
        <f t="shared" si="18"/>
        <v>51.6</v>
      </c>
      <c r="P138" s="13" t="str">
        <f t="shared" si="19"/>
        <v>Fail</v>
      </c>
      <c r="Q138" s="13" t="str">
        <f t="shared" si="20"/>
        <v>C</v>
      </c>
      <c r="R138" s="13">
        <f t="shared" si="21"/>
        <v>3</v>
      </c>
      <c r="S138" s="13" t="str">
        <f t="shared" si="22"/>
        <v>AVERAGE</v>
      </c>
      <c r="T138" s="13"/>
      <c r="U138" s="14" t="str">
        <f t="shared" si="23"/>
        <v>NO</v>
      </c>
    </row>
    <row r="139" spans="1:21" x14ac:dyDescent="0.3">
      <c r="A139" s="15" t="str">
        <f t="shared" si="16"/>
        <v>ST138</v>
      </c>
      <c r="B139" s="16" t="s">
        <v>13</v>
      </c>
      <c r="C139" s="16">
        <v>21</v>
      </c>
      <c r="D139" s="16" t="s">
        <v>17</v>
      </c>
      <c r="E139" s="16">
        <v>7</v>
      </c>
      <c r="F139" s="16">
        <f t="shared" ca="1" si="17"/>
        <v>58</v>
      </c>
      <c r="G139" s="16">
        <v>5.9</v>
      </c>
      <c r="H139" s="16">
        <v>64</v>
      </c>
      <c r="I139" s="16">
        <v>23</v>
      </c>
      <c r="J139" s="16">
        <v>45</v>
      </c>
      <c r="K139" s="16">
        <v>34</v>
      </c>
      <c r="L139" s="16">
        <v>65</v>
      </c>
      <c r="M139" s="16">
        <v>66</v>
      </c>
      <c r="N139" s="16">
        <v>69</v>
      </c>
      <c r="O139" s="16">
        <f t="shared" si="18"/>
        <v>55.800000000000004</v>
      </c>
      <c r="P139" s="16" t="str">
        <f t="shared" si="19"/>
        <v>Fail</v>
      </c>
      <c r="Q139" s="16" t="str">
        <f t="shared" si="20"/>
        <v>C</v>
      </c>
      <c r="R139" s="16">
        <f t="shared" si="21"/>
        <v>1</v>
      </c>
      <c r="S139" s="16" t="str">
        <f t="shared" si="22"/>
        <v>AVERAGE</v>
      </c>
      <c r="T139" s="16"/>
      <c r="U139" s="17" t="str">
        <f t="shared" si="23"/>
        <v>NO</v>
      </c>
    </row>
    <row r="140" spans="1:21" x14ac:dyDescent="0.3">
      <c r="A140" s="12" t="str">
        <f t="shared" si="16"/>
        <v>ST139</v>
      </c>
      <c r="B140" s="13" t="s">
        <v>15</v>
      </c>
      <c r="C140" s="13">
        <v>21</v>
      </c>
      <c r="D140" s="13" t="s">
        <v>16</v>
      </c>
      <c r="E140" s="13">
        <v>8</v>
      </c>
      <c r="F140" s="13">
        <f t="shared" ca="1" si="17"/>
        <v>75</v>
      </c>
      <c r="G140" s="13">
        <v>5.0999999999999996</v>
      </c>
      <c r="H140" s="13">
        <v>99</v>
      </c>
      <c r="I140" s="13">
        <v>31</v>
      </c>
      <c r="J140" s="13">
        <v>60</v>
      </c>
      <c r="K140" s="13">
        <v>78</v>
      </c>
      <c r="L140" s="13">
        <v>66</v>
      </c>
      <c r="M140" s="13">
        <v>60</v>
      </c>
      <c r="N140" s="13">
        <v>52</v>
      </c>
      <c r="O140" s="13">
        <f t="shared" si="18"/>
        <v>63.2</v>
      </c>
      <c r="P140" s="13" t="str">
        <f t="shared" si="19"/>
        <v>Pass</v>
      </c>
      <c r="Q140" s="13" t="str">
        <f t="shared" si="20"/>
        <v>B</v>
      </c>
      <c r="R140" s="13">
        <f t="shared" si="21"/>
        <v>0</v>
      </c>
      <c r="S140" s="13" t="str">
        <f t="shared" si="22"/>
        <v>GOOD</v>
      </c>
      <c r="T140" s="13"/>
      <c r="U140" s="14" t="str">
        <f t="shared" si="23"/>
        <v>YES</v>
      </c>
    </row>
    <row r="141" spans="1:21" x14ac:dyDescent="0.3">
      <c r="A141" s="15" t="str">
        <f t="shared" si="16"/>
        <v>ST140</v>
      </c>
      <c r="B141" s="16" t="s">
        <v>13</v>
      </c>
      <c r="C141" s="16">
        <v>23</v>
      </c>
      <c r="D141" s="16" t="s">
        <v>17</v>
      </c>
      <c r="E141" s="16">
        <v>7</v>
      </c>
      <c r="F141" s="16">
        <f t="shared" ca="1" si="17"/>
        <v>61</v>
      </c>
      <c r="G141" s="16">
        <v>2.5</v>
      </c>
      <c r="H141" s="16">
        <v>59</v>
      </c>
      <c r="I141" s="16">
        <v>39</v>
      </c>
      <c r="J141" s="16">
        <v>58</v>
      </c>
      <c r="K141" s="16">
        <v>75</v>
      </c>
      <c r="L141" s="16">
        <v>92</v>
      </c>
      <c r="M141" s="16">
        <v>98</v>
      </c>
      <c r="N141" s="16">
        <v>89</v>
      </c>
      <c r="O141" s="16">
        <f t="shared" si="18"/>
        <v>82.399999999999991</v>
      </c>
      <c r="P141" s="16" t="str">
        <f t="shared" si="19"/>
        <v>Pass</v>
      </c>
      <c r="Q141" s="16" t="str">
        <f t="shared" si="20"/>
        <v>A</v>
      </c>
      <c r="R141" s="16">
        <f t="shared" si="21"/>
        <v>0</v>
      </c>
      <c r="S141" s="16" t="str">
        <f t="shared" si="22"/>
        <v>EXCELLENT</v>
      </c>
      <c r="T141" s="16"/>
      <c r="U141" s="17" t="str">
        <f t="shared" si="23"/>
        <v>YES</v>
      </c>
    </row>
    <row r="142" spans="1:21" x14ac:dyDescent="0.3">
      <c r="A142" s="12" t="str">
        <f t="shared" si="16"/>
        <v>ST141</v>
      </c>
      <c r="B142" s="13" t="s">
        <v>15</v>
      </c>
      <c r="C142" s="13">
        <v>24</v>
      </c>
      <c r="D142" s="13" t="s">
        <v>18</v>
      </c>
      <c r="E142" s="13">
        <v>7</v>
      </c>
      <c r="F142" s="13">
        <f t="shared" ca="1" si="17"/>
        <v>79</v>
      </c>
      <c r="G142" s="13">
        <v>2.2000000000000002</v>
      </c>
      <c r="H142" s="13">
        <v>85</v>
      </c>
      <c r="I142" s="13">
        <v>34</v>
      </c>
      <c r="J142" s="13">
        <v>33</v>
      </c>
      <c r="K142" s="13">
        <v>21</v>
      </c>
      <c r="L142" s="13">
        <v>56</v>
      </c>
      <c r="M142" s="13">
        <v>65</v>
      </c>
      <c r="N142" s="13">
        <v>38</v>
      </c>
      <c r="O142" s="13">
        <f t="shared" si="18"/>
        <v>42.6</v>
      </c>
      <c r="P142" s="13" t="str">
        <f t="shared" si="19"/>
        <v>Fail</v>
      </c>
      <c r="Q142" s="13" t="str">
        <f t="shared" si="20"/>
        <v>D</v>
      </c>
      <c r="R142" s="13">
        <f t="shared" si="21"/>
        <v>3</v>
      </c>
      <c r="S142" s="13" t="str">
        <f t="shared" si="22"/>
        <v>AVERAGE</v>
      </c>
      <c r="T142" s="13"/>
      <c r="U142" s="14" t="str">
        <f t="shared" si="23"/>
        <v>NO</v>
      </c>
    </row>
    <row r="143" spans="1:21" x14ac:dyDescent="0.3">
      <c r="A143" s="15" t="str">
        <f t="shared" si="16"/>
        <v>ST142</v>
      </c>
      <c r="B143" s="16" t="s">
        <v>13</v>
      </c>
      <c r="C143" s="16">
        <v>21</v>
      </c>
      <c r="D143" s="16" t="s">
        <v>16</v>
      </c>
      <c r="E143" s="16">
        <v>8</v>
      </c>
      <c r="F143" s="16">
        <f t="shared" ca="1" si="17"/>
        <v>65</v>
      </c>
      <c r="G143" s="16">
        <v>1.1000000000000001</v>
      </c>
      <c r="H143" s="16">
        <v>67</v>
      </c>
      <c r="I143" s="16">
        <v>41</v>
      </c>
      <c r="J143" s="16">
        <v>24</v>
      </c>
      <c r="K143" s="16">
        <v>24</v>
      </c>
      <c r="L143" s="16">
        <v>29</v>
      </c>
      <c r="M143" s="16">
        <v>79</v>
      </c>
      <c r="N143" s="16">
        <v>68</v>
      </c>
      <c r="O143" s="16">
        <f t="shared" si="18"/>
        <v>44.800000000000004</v>
      </c>
      <c r="P143" s="16" t="str">
        <f t="shared" si="19"/>
        <v>Fail</v>
      </c>
      <c r="Q143" s="16" t="str">
        <f t="shared" si="20"/>
        <v>D</v>
      </c>
      <c r="R143" s="16">
        <f t="shared" si="21"/>
        <v>3</v>
      </c>
      <c r="S143" s="16" t="str">
        <f t="shared" si="22"/>
        <v>AVERAGE</v>
      </c>
      <c r="T143" s="16"/>
      <c r="U143" s="17" t="str">
        <f t="shared" si="23"/>
        <v>NO</v>
      </c>
    </row>
    <row r="144" spans="1:21" x14ac:dyDescent="0.3">
      <c r="A144" s="12" t="str">
        <f t="shared" si="16"/>
        <v>ST143</v>
      </c>
      <c r="B144" s="13" t="s">
        <v>13</v>
      </c>
      <c r="C144" s="13">
        <v>23</v>
      </c>
      <c r="D144" s="13" t="s">
        <v>18</v>
      </c>
      <c r="E144" s="13">
        <v>7</v>
      </c>
      <c r="F144" s="13">
        <f t="shared" ca="1" si="17"/>
        <v>48</v>
      </c>
      <c r="G144" s="13">
        <v>3.7</v>
      </c>
      <c r="H144" s="13">
        <v>67</v>
      </c>
      <c r="I144" s="13">
        <v>26</v>
      </c>
      <c r="J144" s="13">
        <v>42</v>
      </c>
      <c r="K144" s="13">
        <v>30</v>
      </c>
      <c r="L144" s="13">
        <v>57</v>
      </c>
      <c r="M144" s="13">
        <v>89</v>
      </c>
      <c r="N144" s="13">
        <v>31</v>
      </c>
      <c r="O144" s="13">
        <f t="shared" si="18"/>
        <v>49.8</v>
      </c>
      <c r="P144" s="13" t="str">
        <f t="shared" si="19"/>
        <v>Fail</v>
      </c>
      <c r="Q144" s="13" t="str">
        <f t="shared" si="20"/>
        <v>D</v>
      </c>
      <c r="R144" s="13">
        <f t="shared" si="21"/>
        <v>2</v>
      </c>
      <c r="S144" s="13" t="str">
        <f t="shared" si="22"/>
        <v>AVERAGE</v>
      </c>
      <c r="T144" s="13"/>
      <c r="U144" s="14" t="str">
        <f t="shared" si="23"/>
        <v>NO</v>
      </c>
    </row>
    <row r="145" spans="1:21" x14ac:dyDescent="0.3">
      <c r="A145" s="15" t="str">
        <f t="shared" si="16"/>
        <v>ST144</v>
      </c>
      <c r="B145" s="16" t="s">
        <v>15</v>
      </c>
      <c r="C145" s="16">
        <v>23</v>
      </c>
      <c r="D145" s="16" t="s">
        <v>16</v>
      </c>
      <c r="E145" s="16">
        <v>8</v>
      </c>
      <c r="F145" s="16">
        <f t="shared" ca="1" si="17"/>
        <v>92</v>
      </c>
      <c r="G145" s="16">
        <v>2.8</v>
      </c>
      <c r="H145" s="16">
        <v>84</v>
      </c>
      <c r="I145" s="16">
        <v>21</v>
      </c>
      <c r="J145" s="16">
        <v>77</v>
      </c>
      <c r="K145" s="16">
        <v>19</v>
      </c>
      <c r="L145" s="16">
        <v>69</v>
      </c>
      <c r="M145" s="16">
        <v>94</v>
      </c>
      <c r="N145" s="16">
        <v>82</v>
      </c>
      <c r="O145" s="16">
        <f t="shared" si="18"/>
        <v>68.2</v>
      </c>
      <c r="P145" s="16" t="str">
        <f t="shared" si="19"/>
        <v>Fail</v>
      </c>
      <c r="Q145" s="16" t="str">
        <f t="shared" si="20"/>
        <v>B</v>
      </c>
      <c r="R145" s="16">
        <f t="shared" si="21"/>
        <v>1</v>
      </c>
      <c r="S145" s="16" t="str">
        <f t="shared" si="22"/>
        <v>GOOD</v>
      </c>
      <c r="T145" s="16"/>
      <c r="U145" s="17" t="str">
        <f t="shared" si="23"/>
        <v>NO</v>
      </c>
    </row>
    <row r="146" spans="1:21" x14ac:dyDescent="0.3">
      <c r="A146" s="12" t="str">
        <f t="shared" si="16"/>
        <v>ST145</v>
      </c>
      <c r="B146" s="13" t="s">
        <v>13</v>
      </c>
      <c r="C146" s="13">
        <v>21</v>
      </c>
      <c r="D146" s="13" t="s">
        <v>14</v>
      </c>
      <c r="E146" s="13">
        <v>8</v>
      </c>
      <c r="F146" s="13">
        <f t="shared" ca="1" si="17"/>
        <v>92</v>
      </c>
      <c r="G146" s="13">
        <v>3.4</v>
      </c>
      <c r="H146" s="13">
        <v>91</v>
      </c>
      <c r="I146" s="13">
        <v>48</v>
      </c>
      <c r="J146" s="13">
        <v>59</v>
      </c>
      <c r="K146" s="13">
        <v>79</v>
      </c>
      <c r="L146" s="13">
        <v>28</v>
      </c>
      <c r="M146" s="13">
        <v>96</v>
      </c>
      <c r="N146" s="13">
        <v>48</v>
      </c>
      <c r="O146" s="13">
        <f t="shared" si="18"/>
        <v>62</v>
      </c>
      <c r="P146" s="13" t="str">
        <f t="shared" si="19"/>
        <v>Fail</v>
      </c>
      <c r="Q146" s="13" t="str">
        <f t="shared" si="20"/>
        <v>B</v>
      </c>
      <c r="R146" s="13">
        <f t="shared" si="21"/>
        <v>1</v>
      </c>
      <c r="S146" s="13" t="str">
        <f t="shared" si="22"/>
        <v>GOOD</v>
      </c>
      <c r="T146" s="13"/>
      <c r="U146" s="14" t="str">
        <f t="shared" si="23"/>
        <v>NO</v>
      </c>
    </row>
    <row r="147" spans="1:21" x14ac:dyDescent="0.3">
      <c r="A147" s="15" t="str">
        <f t="shared" si="16"/>
        <v>ST146</v>
      </c>
      <c r="B147" s="16" t="s">
        <v>13</v>
      </c>
      <c r="C147" s="16">
        <v>21</v>
      </c>
      <c r="D147" s="16" t="s">
        <v>16</v>
      </c>
      <c r="E147" s="16">
        <v>8</v>
      </c>
      <c r="F147" s="16">
        <f t="shared" ca="1" si="17"/>
        <v>93</v>
      </c>
      <c r="G147" s="16">
        <v>1.8</v>
      </c>
      <c r="H147" s="16">
        <v>85</v>
      </c>
      <c r="I147" s="16">
        <v>23</v>
      </c>
      <c r="J147" s="16">
        <v>21</v>
      </c>
      <c r="K147" s="16">
        <v>94</v>
      </c>
      <c r="L147" s="16">
        <v>27</v>
      </c>
      <c r="M147" s="16">
        <v>61</v>
      </c>
      <c r="N147" s="16">
        <v>90</v>
      </c>
      <c r="O147" s="16">
        <f t="shared" si="18"/>
        <v>58.599999999999994</v>
      </c>
      <c r="P147" s="16" t="str">
        <f t="shared" si="19"/>
        <v>Fail</v>
      </c>
      <c r="Q147" s="16" t="str">
        <f t="shared" si="20"/>
        <v>C</v>
      </c>
      <c r="R147" s="16">
        <f t="shared" si="21"/>
        <v>2</v>
      </c>
      <c r="S147" s="16" t="str">
        <f t="shared" si="22"/>
        <v>AVERAGE</v>
      </c>
      <c r="T147" s="16"/>
      <c r="U147" s="17" t="str">
        <f t="shared" si="23"/>
        <v>NO</v>
      </c>
    </row>
    <row r="148" spans="1:21" x14ac:dyDescent="0.3">
      <c r="A148" s="12" t="str">
        <f t="shared" si="16"/>
        <v>ST147</v>
      </c>
      <c r="B148" s="13" t="s">
        <v>13</v>
      </c>
      <c r="C148" s="13">
        <v>24</v>
      </c>
      <c r="D148" s="13" t="s">
        <v>14</v>
      </c>
      <c r="E148" s="13">
        <v>8</v>
      </c>
      <c r="F148" s="13">
        <f t="shared" ca="1" si="17"/>
        <v>93</v>
      </c>
      <c r="G148" s="13">
        <v>2.6</v>
      </c>
      <c r="H148" s="13">
        <v>75</v>
      </c>
      <c r="I148" s="13">
        <v>34</v>
      </c>
      <c r="J148" s="13">
        <v>74</v>
      </c>
      <c r="K148" s="13">
        <v>89</v>
      </c>
      <c r="L148" s="13">
        <v>80</v>
      </c>
      <c r="M148" s="13">
        <v>51</v>
      </c>
      <c r="N148" s="13">
        <v>53</v>
      </c>
      <c r="O148" s="13">
        <f t="shared" si="18"/>
        <v>69.399999999999991</v>
      </c>
      <c r="P148" s="13" t="str">
        <f t="shared" si="19"/>
        <v>Pass</v>
      </c>
      <c r="Q148" s="13" t="str">
        <f t="shared" si="20"/>
        <v>B</v>
      </c>
      <c r="R148" s="13">
        <f t="shared" si="21"/>
        <v>0</v>
      </c>
      <c r="S148" s="13" t="str">
        <f t="shared" si="22"/>
        <v>GOOD</v>
      </c>
      <c r="T148" s="13"/>
      <c r="U148" s="14" t="str">
        <f t="shared" si="23"/>
        <v>YES</v>
      </c>
    </row>
    <row r="149" spans="1:21" x14ac:dyDescent="0.3">
      <c r="A149" s="15" t="str">
        <f t="shared" si="16"/>
        <v>ST148</v>
      </c>
      <c r="B149" s="16" t="s">
        <v>13</v>
      </c>
      <c r="C149" s="16">
        <v>23</v>
      </c>
      <c r="D149" s="16" t="s">
        <v>16</v>
      </c>
      <c r="E149" s="16">
        <v>7</v>
      </c>
      <c r="F149" s="16">
        <f t="shared" ca="1" si="17"/>
        <v>43</v>
      </c>
      <c r="G149" s="16">
        <v>5.9</v>
      </c>
      <c r="H149" s="16">
        <v>68</v>
      </c>
      <c r="I149" s="16">
        <v>41</v>
      </c>
      <c r="J149" s="16">
        <v>60</v>
      </c>
      <c r="K149" s="16">
        <v>64</v>
      </c>
      <c r="L149" s="16">
        <v>82</v>
      </c>
      <c r="M149" s="16">
        <v>67</v>
      </c>
      <c r="N149" s="16">
        <v>81</v>
      </c>
      <c r="O149" s="16">
        <f t="shared" si="18"/>
        <v>70.8</v>
      </c>
      <c r="P149" s="16" t="str">
        <f t="shared" si="19"/>
        <v>Pass</v>
      </c>
      <c r="Q149" s="16" t="str">
        <f t="shared" si="20"/>
        <v>B</v>
      </c>
      <c r="R149" s="16">
        <f t="shared" si="21"/>
        <v>0</v>
      </c>
      <c r="S149" s="16" t="str">
        <f t="shared" si="22"/>
        <v>GOOD</v>
      </c>
      <c r="T149" s="16"/>
      <c r="U149" s="17" t="str">
        <f t="shared" si="23"/>
        <v>YES</v>
      </c>
    </row>
    <row r="150" spans="1:21" x14ac:dyDescent="0.3">
      <c r="A150" s="12" t="str">
        <f t="shared" si="16"/>
        <v>ST149</v>
      </c>
      <c r="B150" s="13" t="s">
        <v>15</v>
      </c>
      <c r="C150" s="13">
        <v>21</v>
      </c>
      <c r="D150" s="13" t="s">
        <v>18</v>
      </c>
      <c r="E150" s="13">
        <v>8</v>
      </c>
      <c r="F150" s="13">
        <f t="shared" ca="1" si="17"/>
        <v>67</v>
      </c>
      <c r="G150" s="13">
        <v>1.1000000000000001</v>
      </c>
      <c r="H150" s="13">
        <v>57</v>
      </c>
      <c r="I150" s="13">
        <v>26</v>
      </c>
      <c r="J150" s="13">
        <v>32</v>
      </c>
      <c r="K150" s="13">
        <v>60</v>
      </c>
      <c r="L150" s="13">
        <v>95</v>
      </c>
      <c r="M150" s="13">
        <v>98</v>
      </c>
      <c r="N150" s="13">
        <v>85</v>
      </c>
      <c r="O150" s="13">
        <f t="shared" si="18"/>
        <v>74</v>
      </c>
      <c r="P150" s="13" t="str">
        <f t="shared" si="19"/>
        <v>Fail</v>
      </c>
      <c r="Q150" s="13" t="str">
        <f t="shared" si="20"/>
        <v>B</v>
      </c>
      <c r="R150" s="13">
        <f t="shared" si="21"/>
        <v>1</v>
      </c>
      <c r="S150" s="13" t="str">
        <f t="shared" si="22"/>
        <v>GOOD</v>
      </c>
      <c r="T150" s="13"/>
      <c r="U150" s="14" t="str">
        <f t="shared" si="23"/>
        <v>NO</v>
      </c>
    </row>
    <row r="151" spans="1:21" x14ac:dyDescent="0.3">
      <c r="A151" s="15" t="str">
        <f t="shared" si="16"/>
        <v>ST150</v>
      </c>
      <c r="B151" s="16" t="s">
        <v>13</v>
      </c>
      <c r="C151" s="16">
        <v>22</v>
      </c>
      <c r="D151" s="16" t="s">
        <v>18</v>
      </c>
      <c r="E151" s="16">
        <v>8</v>
      </c>
      <c r="F151" s="16">
        <f t="shared" ca="1" si="17"/>
        <v>67</v>
      </c>
      <c r="G151" s="16">
        <v>5.7</v>
      </c>
      <c r="H151" s="16">
        <v>51</v>
      </c>
      <c r="I151" s="16">
        <v>45</v>
      </c>
      <c r="J151" s="16">
        <v>28</v>
      </c>
      <c r="K151" s="16">
        <v>80</v>
      </c>
      <c r="L151" s="16">
        <v>23</v>
      </c>
      <c r="M151" s="16">
        <v>63</v>
      </c>
      <c r="N151" s="16">
        <v>86</v>
      </c>
      <c r="O151" s="16">
        <f t="shared" si="18"/>
        <v>56.000000000000007</v>
      </c>
      <c r="P151" s="16" t="str">
        <f t="shared" si="19"/>
        <v>Fail</v>
      </c>
      <c r="Q151" s="16" t="str">
        <f t="shared" si="20"/>
        <v>C</v>
      </c>
      <c r="R151" s="16">
        <f t="shared" si="21"/>
        <v>2</v>
      </c>
      <c r="S151" s="16" t="str">
        <f t="shared" si="22"/>
        <v>AVERAGE</v>
      </c>
      <c r="T151" s="16"/>
      <c r="U151" s="17" t="str">
        <f t="shared" si="23"/>
        <v>NO</v>
      </c>
    </row>
    <row r="152" spans="1:21" x14ac:dyDescent="0.3">
      <c r="A152" s="12" t="str">
        <f t="shared" si="16"/>
        <v>ST151</v>
      </c>
      <c r="B152" s="13" t="s">
        <v>15</v>
      </c>
      <c r="C152" s="13">
        <v>23</v>
      </c>
      <c r="D152" s="13" t="s">
        <v>16</v>
      </c>
      <c r="E152" s="13">
        <v>8</v>
      </c>
      <c r="F152" s="13">
        <f t="shared" ca="1" si="17"/>
        <v>95</v>
      </c>
      <c r="G152" s="13">
        <v>3.6</v>
      </c>
      <c r="H152" s="13">
        <v>90</v>
      </c>
      <c r="I152" s="13">
        <v>36</v>
      </c>
      <c r="J152" s="13">
        <v>19</v>
      </c>
      <c r="K152" s="13">
        <v>91</v>
      </c>
      <c r="L152" s="13">
        <v>79</v>
      </c>
      <c r="M152" s="13">
        <v>74</v>
      </c>
      <c r="N152" s="13">
        <v>88</v>
      </c>
      <c r="O152" s="13">
        <f t="shared" si="18"/>
        <v>70.199999999999989</v>
      </c>
      <c r="P152" s="13" t="str">
        <f t="shared" si="19"/>
        <v>Fail</v>
      </c>
      <c r="Q152" s="13" t="str">
        <f t="shared" si="20"/>
        <v>B</v>
      </c>
      <c r="R152" s="13">
        <f t="shared" si="21"/>
        <v>1</v>
      </c>
      <c r="S152" s="13" t="str">
        <f t="shared" si="22"/>
        <v>GOOD</v>
      </c>
      <c r="T152" s="13"/>
      <c r="U152" s="14" t="str">
        <f t="shared" si="23"/>
        <v>NO</v>
      </c>
    </row>
    <row r="153" spans="1:21" x14ac:dyDescent="0.3">
      <c r="A153" s="15" t="str">
        <f t="shared" si="16"/>
        <v>ST152</v>
      </c>
      <c r="B153" s="16" t="s">
        <v>13</v>
      </c>
      <c r="C153" s="16">
        <v>21</v>
      </c>
      <c r="D153" s="16" t="s">
        <v>18</v>
      </c>
      <c r="E153" s="16">
        <v>8</v>
      </c>
      <c r="F153" s="16">
        <f t="shared" ca="1" si="17"/>
        <v>57</v>
      </c>
      <c r="G153" s="16">
        <v>2.2999999999999998</v>
      </c>
      <c r="H153" s="16">
        <v>67</v>
      </c>
      <c r="I153" s="16">
        <v>27</v>
      </c>
      <c r="J153" s="16">
        <v>70</v>
      </c>
      <c r="K153" s="16">
        <v>42</v>
      </c>
      <c r="L153" s="16">
        <v>23</v>
      </c>
      <c r="M153" s="16">
        <v>62</v>
      </c>
      <c r="N153" s="16">
        <v>62</v>
      </c>
      <c r="O153" s="16">
        <f t="shared" si="18"/>
        <v>51.800000000000004</v>
      </c>
      <c r="P153" s="16" t="str">
        <f t="shared" si="19"/>
        <v>Fail</v>
      </c>
      <c r="Q153" s="16" t="str">
        <f t="shared" si="20"/>
        <v>C</v>
      </c>
      <c r="R153" s="16">
        <f t="shared" si="21"/>
        <v>1</v>
      </c>
      <c r="S153" s="16" t="str">
        <f t="shared" si="22"/>
        <v>AVERAGE</v>
      </c>
      <c r="T153" s="16"/>
      <c r="U153" s="17" t="str">
        <f t="shared" si="23"/>
        <v>NO</v>
      </c>
    </row>
    <row r="154" spans="1:21" x14ac:dyDescent="0.3">
      <c r="A154" s="12" t="str">
        <f t="shared" si="16"/>
        <v>ST153</v>
      </c>
      <c r="B154" s="13" t="s">
        <v>15</v>
      </c>
      <c r="C154" s="13">
        <v>24</v>
      </c>
      <c r="D154" s="13" t="s">
        <v>17</v>
      </c>
      <c r="E154" s="13">
        <v>7</v>
      </c>
      <c r="F154" s="13">
        <f t="shared" ca="1" si="17"/>
        <v>41</v>
      </c>
      <c r="G154" s="13">
        <v>2.2999999999999998</v>
      </c>
      <c r="H154" s="13">
        <v>52</v>
      </c>
      <c r="I154" s="13">
        <v>21</v>
      </c>
      <c r="J154" s="13">
        <v>26</v>
      </c>
      <c r="K154" s="13">
        <v>89</v>
      </c>
      <c r="L154" s="13">
        <v>69</v>
      </c>
      <c r="M154" s="13">
        <v>62</v>
      </c>
      <c r="N154" s="13">
        <v>91</v>
      </c>
      <c r="O154" s="13">
        <f t="shared" si="18"/>
        <v>67.400000000000006</v>
      </c>
      <c r="P154" s="13" t="str">
        <f t="shared" si="19"/>
        <v>Fail</v>
      </c>
      <c r="Q154" s="13" t="str">
        <f t="shared" si="20"/>
        <v>B</v>
      </c>
      <c r="R154" s="13">
        <f t="shared" si="21"/>
        <v>1</v>
      </c>
      <c r="S154" s="13" t="str">
        <f t="shared" si="22"/>
        <v>GOOD</v>
      </c>
      <c r="T154" s="13"/>
      <c r="U154" s="14" t="str">
        <f t="shared" si="23"/>
        <v>NO</v>
      </c>
    </row>
    <row r="155" spans="1:21" x14ac:dyDescent="0.3">
      <c r="A155" s="15" t="str">
        <f t="shared" si="16"/>
        <v>ST154</v>
      </c>
      <c r="B155" s="16" t="s">
        <v>13</v>
      </c>
      <c r="C155" s="16">
        <v>22</v>
      </c>
      <c r="D155" s="16" t="s">
        <v>18</v>
      </c>
      <c r="E155" s="16">
        <v>8</v>
      </c>
      <c r="F155" s="16">
        <f t="shared" ca="1" si="17"/>
        <v>95</v>
      </c>
      <c r="G155" s="16">
        <v>3.7</v>
      </c>
      <c r="H155" s="16">
        <v>92</v>
      </c>
      <c r="I155" s="16">
        <v>29</v>
      </c>
      <c r="J155" s="16">
        <v>85</v>
      </c>
      <c r="K155" s="16">
        <v>82</v>
      </c>
      <c r="L155" s="16">
        <v>28</v>
      </c>
      <c r="M155" s="16">
        <v>100</v>
      </c>
      <c r="N155" s="16">
        <v>53</v>
      </c>
      <c r="O155" s="16">
        <f t="shared" si="18"/>
        <v>69.599999999999994</v>
      </c>
      <c r="P155" s="16" t="str">
        <f t="shared" si="19"/>
        <v>Fail</v>
      </c>
      <c r="Q155" s="16" t="str">
        <f t="shared" si="20"/>
        <v>B</v>
      </c>
      <c r="R155" s="16">
        <f t="shared" si="21"/>
        <v>1</v>
      </c>
      <c r="S155" s="16" t="str">
        <f t="shared" si="22"/>
        <v>GOOD</v>
      </c>
      <c r="T155" s="16"/>
      <c r="U155" s="17" t="str">
        <f t="shared" si="23"/>
        <v>NO</v>
      </c>
    </row>
    <row r="156" spans="1:21" x14ac:dyDescent="0.3">
      <c r="A156" s="12" t="str">
        <f t="shared" si="16"/>
        <v>ST155</v>
      </c>
      <c r="B156" s="13" t="s">
        <v>15</v>
      </c>
      <c r="C156" s="13">
        <v>21</v>
      </c>
      <c r="D156" s="13" t="s">
        <v>16</v>
      </c>
      <c r="E156" s="13">
        <v>8</v>
      </c>
      <c r="F156" s="13">
        <f t="shared" ca="1" si="17"/>
        <v>42</v>
      </c>
      <c r="G156" s="13">
        <v>3.8</v>
      </c>
      <c r="H156" s="13">
        <v>64</v>
      </c>
      <c r="I156" s="13">
        <v>37</v>
      </c>
      <c r="J156" s="13">
        <v>11</v>
      </c>
      <c r="K156" s="13">
        <v>43</v>
      </c>
      <c r="L156" s="13">
        <v>40</v>
      </c>
      <c r="M156" s="13">
        <v>68</v>
      </c>
      <c r="N156" s="13">
        <v>41</v>
      </c>
      <c r="O156" s="13">
        <f t="shared" si="18"/>
        <v>40.6</v>
      </c>
      <c r="P156" s="13" t="str">
        <f t="shared" si="19"/>
        <v>Fail</v>
      </c>
      <c r="Q156" s="13" t="str">
        <f t="shared" si="20"/>
        <v>D</v>
      </c>
      <c r="R156" s="13">
        <f t="shared" si="21"/>
        <v>1</v>
      </c>
      <c r="S156" s="13" t="str">
        <f t="shared" si="22"/>
        <v>AVERAGE</v>
      </c>
      <c r="T156" s="13"/>
      <c r="U156" s="14" t="str">
        <f t="shared" si="23"/>
        <v>NO</v>
      </c>
    </row>
    <row r="157" spans="1:21" x14ac:dyDescent="0.3">
      <c r="A157" s="15" t="str">
        <f t="shared" si="16"/>
        <v>ST156</v>
      </c>
      <c r="B157" s="16" t="s">
        <v>13</v>
      </c>
      <c r="C157" s="16">
        <v>22</v>
      </c>
      <c r="D157" s="16" t="s">
        <v>17</v>
      </c>
      <c r="E157" s="16">
        <v>8</v>
      </c>
      <c r="F157" s="16">
        <f t="shared" ca="1" si="17"/>
        <v>93</v>
      </c>
      <c r="G157" s="16">
        <v>4.7</v>
      </c>
      <c r="H157" s="16">
        <v>96</v>
      </c>
      <c r="I157" s="16">
        <v>48</v>
      </c>
      <c r="J157" s="16">
        <v>16</v>
      </c>
      <c r="K157" s="16">
        <v>46</v>
      </c>
      <c r="L157" s="16">
        <v>74</v>
      </c>
      <c r="M157" s="16">
        <v>61</v>
      </c>
      <c r="N157" s="16">
        <v>99</v>
      </c>
      <c r="O157" s="16">
        <f t="shared" si="18"/>
        <v>59.199999999999996</v>
      </c>
      <c r="P157" s="16" t="str">
        <f t="shared" si="19"/>
        <v>Fail</v>
      </c>
      <c r="Q157" s="16" t="str">
        <f t="shared" si="20"/>
        <v>C</v>
      </c>
      <c r="R157" s="16">
        <f t="shared" si="21"/>
        <v>1</v>
      </c>
      <c r="S157" s="16" t="str">
        <f t="shared" si="22"/>
        <v>AVERAGE</v>
      </c>
      <c r="T157" s="16"/>
      <c r="U157" s="17" t="str">
        <f t="shared" si="23"/>
        <v>NO</v>
      </c>
    </row>
    <row r="158" spans="1:21" x14ac:dyDescent="0.3">
      <c r="A158" s="12" t="str">
        <f t="shared" si="16"/>
        <v>ST157</v>
      </c>
      <c r="B158" s="13" t="s">
        <v>15</v>
      </c>
      <c r="C158" s="13">
        <v>22</v>
      </c>
      <c r="D158" s="13" t="s">
        <v>14</v>
      </c>
      <c r="E158" s="13">
        <v>8</v>
      </c>
      <c r="F158" s="13">
        <f t="shared" ca="1" si="17"/>
        <v>59</v>
      </c>
      <c r="G158" s="13">
        <v>3.4</v>
      </c>
      <c r="H158" s="13">
        <v>60</v>
      </c>
      <c r="I158" s="13">
        <v>28</v>
      </c>
      <c r="J158" s="13">
        <v>49</v>
      </c>
      <c r="K158" s="13">
        <v>56</v>
      </c>
      <c r="L158" s="13">
        <v>51</v>
      </c>
      <c r="M158" s="13">
        <v>93</v>
      </c>
      <c r="N158" s="13">
        <v>69</v>
      </c>
      <c r="O158" s="13">
        <f t="shared" si="18"/>
        <v>63.6</v>
      </c>
      <c r="P158" s="13" t="str">
        <f t="shared" si="19"/>
        <v>Pass</v>
      </c>
      <c r="Q158" s="13" t="str">
        <f t="shared" si="20"/>
        <v>B</v>
      </c>
      <c r="R158" s="13">
        <f t="shared" si="21"/>
        <v>0</v>
      </c>
      <c r="S158" s="13" t="str">
        <f t="shared" si="22"/>
        <v>GOOD</v>
      </c>
      <c r="T158" s="13"/>
      <c r="U158" s="14" t="str">
        <f t="shared" si="23"/>
        <v>YES</v>
      </c>
    </row>
    <row r="159" spans="1:21" x14ac:dyDescent="0.3">
      <c r="A159" s="15" t="str">
        <f t="shared" si="16"/>
        <v>ST158</v>
      </c>
      <c r="B159" s="16" t="s">
        <v>15</v>
      </c>
      <c r="C159" s="16">
        <v>21</v>
      </c>
      <c r="D159" s="16" t="s">
        <v>14</v>
      </c>
      <c r="E159" s="16">
        <v>7</v>
      </c>
      <c r="F159" s="16">
        <f t="shared" ca="1" si="17"/>
        <v>67</v>
      </c>
      <c r="G159" s="16">
        <v>3.4</v>
      </c>
      <c r="H159" s="16">
        <v>58</v>
      </c>
      <c r="I159" s="16">
        <v>39</v>
      </c>
      <c r="J159" s="16">
        <v>10</v>
      </c>
      <c r="K159" s="16">
        <v>60</v>
      </c>
      <c r="L159" s="16">
        <v>93</v>
      </c>
      <c r="M159" s="16">
        <v>54</v>
      </c>
      <c r="N159" s="16">
        <v>55</v>
      </c>
      <c r="O159" s="16">
        <f t="shared" si="18"/>
        <v>54.400000000000006</v>
      </c>
      <c r="P159" s="16" t="str">
        <f t="shared" si="19"/>
        <v>Fail</v>
      </c>
      <c r="Q159" s="16" t="str">
        <f t="shared" si="20"/>
        <v>C</v>
      </c>
      <c r="R159" s="16">
        <f t="shared" si="21"/>
        <v>1</v>
      </c>
      <c r="S159" s="16" t="str">
        <f t="shared" si="22"/>
        <v>AVERAGE</v>
      </c>
      <c r="T159" s="16"/>
      <c r="U159" s="17" t="str">
        <f t="shared" si="23"/>
        <v>NO</v>
      </c>
    </row>
    <row r="160" spans="1:21" x14ac:dyDescent="0.3">
      <c r="A160" s="12" t="str">
        <f t="shared" si="16"/>
        <v>ST159</v>
      </c>
      <c r="B160" s="13" t="s">
        <v>15</v>
      </c>
      <c r="C160" s="13">
        <v>24</v>
      </c>
      <c r="D160" s="13" t="s">
        <v>16</v>
      </c>
      <c r="E160" s="13">
        <v>7</v>
      </c>
      <c r="F160" s="13">
        <f t="shared" ca="1" si="17"/>
        <v>62</v>
      </c>
      <c r="G160" s="13">
        <v>5.5</v>
      </c>
      <c r="H160" s="13">
        <v>57</v>
      </c>
      <c r="I160" s="13">
        <v>24</v>
      </c>
      <c r="J160" s="13">
        <v>70</v>
      </c>
      <c r="K160" s="13">
        <v>28</v>
      </c>
      <c r="L160" s="13">
        <v>95</v>
      </c>
      <c r="M160" s="13">
        <v>82</v>
      </c>
      <c r="N160" s="13">
        <v>100</v>
      </c>
      <c r="O160" s="13">
        <f t="shared" si="18"/>
        <v>75</v>
      </c>
      <c r="P160" s="13" t="str">
        <f t="shared" si="19"/>
        <v>Fail</v>
      </c>
      <c r="Q160" s="13" t="str">
        <f t="shared" si="20"/>
        <v>B</v>
      </c>
      <c r="R160" s="13">
        <f t="shared" si="21"/>
        <v>1</v>
      </c>
      <c r="S160" s="13" t="str">
        <f t="shared" si="22"/>
        <v>GOOD</v>
      </c>
      <c r="T160" s="13"/>
      <c r="U160" s="14" t="str">
        <f t="shared" si="23"/>
        <v>NO</v>
      </c>
    </row>
    <row r="161" spans="1:21" x14ac:dyDescent="0.3">
      <c r="A161" s="15" t="str">
        <f t="shared" si="16"/>
        <v>ST160</v>
      </c>
      <c r="B161" s="16" t="s">
        <v>15</v>
      </c>
      <c r="C161" s="16">
        <v>24</v>
      </c>
      <c r="D161" s="16" t="s">
        <v>14</v>
      </c>
      <c r="E161" s="16">
        <v>8</v>
      </c>
      <c r="F161" s="16">
        <f t="shared" ca="1" si="17"/>
        <v>63</v>
      </c>
      <c r="G161" s="16">
        <v>4</v>
      </c>
      <c r="H161" s="16">
        <v>53</v>
      </c>
      <c r="I161" s="16">
        <v>24</v>
      </c>
      <c r="J161" s="16">
        <v>73</v>
      </c>
      <c r="K161" s="16">
        <v>94</v>
      </c>
      <c r="L161" s="16">
        <v>32</v>
      </c>
      <c r="M161" s="16">
        <v>66</v>
      </c>
      <c r="N161" s="16">
        <v>79</v>
      </c>
      <c r="O161" s="16">
        <f t="shared" si="18"/>
        <v>68.8</v>
      </c>
      <c r="P161" s="16" t="str">
        <f t="shared" si="19"/>
        <v>Fail</v>
      </c>
      <c r="Q161" s="16" t="str">
        <f t="shared" si="20"/>
        <v>B</v>
      </c>
      <c r="R161" s="16">
        <f t="shared" si="21"/>
        <v>1</v>
      </c>
      <c r="S161" s="16" t="str">
        <f t="shared" si="22"/>
        <v>GOOD</v>
      </c>
      <c r="T161" s="16"/>
      <c r="U161" s="17" t="str">
        <f t="shared" si="23"/>
        <v>NO</v>
      </c>
    </row>
    <row r="162" spans="1:21" x14ac:dyDescent="0.3">
      <c r="A162" s="12" t="str">
        <f t="shared" si="16"/>
        <v>ST161</v>
      </c>
      <c r="B162" s="13" t="s">
        <v>13</v>
      </c>
      <c r="C162" s="13">
        <v>22</v>
      </c>
      <c r="D162" s="13" t="s">
        <v>14</v>
      </c>
      <c r="E162" s="13">
        <v>7</v>
      </c>
      <c r="F162" s="13">
        <f t="shared" ca="1" si="17"/>
        <v>79</v>
      </c>
      <c r="G162" s="13">
        <v>5.4</v>
      </c>
      <c r="H162" s="13">
        <v>86</v>
      </c>
      <c r="I162" s="13">
        <v>44</v>
      </c>
      <c r="J162" s="13">
        <v>26</v>
      </c>
      <c r="K162" s="13">
        <v>51</v>
      </c>
      <c r="L162" s="13">
        <v>45</v>
      </c>
      <c r="M162" s="13">
        <v>99</v>
      </c>
      <c r="N162" s="13">
        <v>42</v>
      </c>
      <c r="O162" s="13">
        <f t="shared" si="18"/>
        <v>52.6</v>
      </c>
      <c r="P162" s="13" t="str">
        <f t="shared" si="19"/>
        <v>Fail</v>
      </c>
      <c r="Q162" s="13" t="str">
        <f t="shared" si="20"/>
        <v>C</v>
      </c>
      <c r="R162" s="13">
        <f t="shared" si="21"/>
        <v>1</v>
      </c>
      <c r="S162" s="13" t="str">
        <f t="shared" si="22"/>
        <v>AVERAGE</v>
      </c>
      <c r="T162" s="13"/>
      <c r="U162" s="14" t="str">
        <f t="shared" si="23"/>
        <v>NO</v>
      </c>
    </row>
    <row r="163" spans="1:21" x14ac:dyDescent="0.3">
      <c r="A163" s="15" t="str">
        <f t="shared" si="16"/>
        <v>ST162</v>
      </c>
      <c r="B163" s="16" t="s">
        <v>15</v>
      </c>
      <c r="C163" s="16">
        <v>23</v>
      </c>
      <c r="D163" s="16" t="s">
        <v>16</v>
      </c>
      <c r="E163" s="16">
        <v>8</v>
      </c>
      <c r="F163" s="16">
        <f t="shared" ca="1" si="17"/>
        <v>89</v>
      </c>
      <c r="G163" s="16">
        <v>2.7</v>
      </c>
      <c r="H163" s="16">
        <v>89</v>
      </c>
      <c r="I163" s="16">
        <v>50</v>
      </c>
      <c r="J163" s="16">
        <v>83</v>
      </c>
      <c r="K163" s="16">
        <v>91</v>
      </c>
      <c r="L163" s="16">
        <v>54</v>
      </c>
      <c r="M163" s="16">
        <v>65</v>
      </c>
      <c r="N163" s="16">
        <v>88</v>
      </c>
      <c r="O163" s="16">
        <f t="shared" si="18"/>
        <v>76.2</v>
      </c>
      <c r="P163" s="16" t="str">
        <f t="shared" si="19"/>
        <v>Pass</v>
      </c>
      <c r="Q163" s="16" t="str">
        <f t="shared" si="20"/>
        <v>B</v>
      </c>
      <c r="R163" s="16">
        <f t="shared" si="21"/>
        <v>0</v>
      </c>
      <c r="S163" s="16" t="str">
        <f t="shared" si="22"/>
        <v>GOOD</v>
      </c>
      <c r="T163" s="16"/>
      <c r="U163" s="17" t="str">
        <f t="shared" si="23"/>
        <v>YES</v>
      </c>
    </row>
    <row r="164" spans="1:21" x14ac:dyDescent="0.3">
      <c r="A164" s="12" t="str">
        <f t="shared" si="16"/>
        <v>ST163</v>
      </c>
      <c r="B164" s="13" t="s">
        <v>15</v>
      </c>
      <c r="C164" s="13">
        <v>22</v>
      </c>
      <c r="D164" s="13" t="s">
        <v>18</v>
      </c>
      <c r="E164" s="13">
        <v>8</v>
      </c>
      <c r="F164" s="13">
        <f t="shared" ca="1" si="17"/>
        <v>85</v>
      </c>
      <c r="G164" s="13">
        <v>1.8</v>
      </c>
      <c r="H164" s="13">
        <v>88</v>
      </c>
      <c r="I164" s="13">
        <v>25</v>
      </c>
      <c r="J164" s="13">
        <v>63</v>
      </c>
      <c r="K164" s="13">
        <v>18</v>
      </c>
      <c r="L164" s="13">
        <v>82</v>
      </c>
      <c r="M164" s="13">
        <v>95</v>
      </c>
      <c r="N164" s="13">
        <v>81</v>
      </c>
      <c r="O164" s="13">
        <f t="shared" si="18"/>
        <v>67.800000000000011</v>
      </c>
      <c r="P164" s="13" t="str">
        <f t="shared" si="19"/>
        <v>Fail</v>
      </c>
      <c r="Q164" s="13" t="str">
        <f t="shared" si="20"/>
        <v>B</v>
      </c>
      <c r="R164" s="13">
        <f t="shared" si="21"/>
        <v>1</v>
      </c>
      <c r="S164" s="13" t="str">
        <f t="shared" si="22"/>
        <v>GOOD</v>
      </c>
      <c r="T164" s="13"/>
      <c r="U164" s="14" t="str">
        <f t="shared" si="23"/>
        <v>NO</v>
      </c>
    </row>
    <row r="165" spans="1:21" x14ac:dyDescent="0.3">
      <c r="A165" s="15" t="str">
        <f t="shared" si="16"/>
        <v>ST164</v>
      </c>
      <c r="B165" s="16" t="s">
        <v>15</v>
      </c>
      <c r="C165" s="16">
        <v>24</v>
      </c>
      <c r="D165" s="16" t="s">
        <v>16</v>
      </c>
      <c r="E165" s="16">
        <v>8</v>
      </c>
      <c r="F165" s="16">
        <f t="shared" ca="1" si="17"/>
        <v>48</v>
      </c>
      <c r="G165" s="16">
        <v>3.1</v>
      </c>
      <c r="H165" s="16">
        <v>59</v>
      </c>
      <c r="I165" s="16">
        <v>22</v>
      </c>
      <c r="J165" s="16">
        <v>36</v>
      </c>
      <c r="K165" s="16">
        <v>76</v>
      </c>
      <c r="L165" s="16">
        <v>84</v>
      </c>
      <c r="M165" s="16">
        <v>86</v>
      </c>
      <c r="N165" s="16">
        <v>72</v>
      </c>
      <c r="O165" s="16">
        <f t="shared" si="18"/>
        <v>70.8</v>
      </c>
      <c r="P165" s="16" t="str">
        <f t="shared" si="19"/>
        <v>Fail</v>
      </c>
      <c r="Q165" s="16" t="str">
        <f t="shared" si="20"/>
        <v>B</v>
      </c>
      <c r="R165" s="16">
        <f t="shared" si="21"/>
        <v>1</v>
      </c>
      <c r="S165" s="16" t="str">
        <f t="shared" si="22"/>
        <v>GOOD</v>
      </c>
      <c r="T165" s="16"/>
      <c r="U165" s="17" t="str">
        <f t="shared" si="23"/>
        <v>NO</v>
      </c>
    </row>
    <row r="166" spans="1:21" x14ac:dyDescent="0.3">
      <c r="A166" s="12" t="str">
        <f t="shared" si="16"/>
        <v>ST165</v>
      </c>
      <c r="B166" s="13" t="s">
        <v>13</v>
      </c>
      <c r="C166" s="13">
        <v>23</v>
      </c>
      <c r="D166" s="13" t="s">
        <v>17</v>
      </c>
      <c r="E166" s="13">
        <v>8</v>
      </c>
      <c r="F166" s="13">
        <f t="shared" ca="1" si="17"/>
        <v>81</v>
      </c>
      <c r="G166" s="13">
        <v>5.2</v>
      </c>
      <c r="H166" s="13">
        <v>74</v>
      </c>
      <c r="I166" s="13">
        <v>37</v>
      </c>
      <c r="J166" s="13">
        <v>26</v>
      </c>
      <c r="K166" s="13">
        <v>78</v>
      </c>
      <c r="L166" s="13">
        <v>48</v>
      </c>
      <c r="M166" s="13">
        <v>54</v>
      </c>
      <c r="N166" s="13">
        <v>59</v>
      </c>
      <c r="O166" s="13">
        <f t="shared" si="18"/>
        <v>53</v>
      </c>
      <c r="P166" s="13" t="str">
        <f t="shared" si="19"/>
        <v>Fail</v>
      </c>
      <c r="Q166" s="13" t="str">
        <f t="shared" si="20"/>
        <v>C</v>
      </c>
      <c r="R166" s="13">
        <f t="shared" si="21"/>
        <v>1</v>
      </c>
      <c r="S166" s="13" t="str">
        <f t="shared" si="22"/>
        <v>AVERAGE</v>
      </c>
      <c r="T166" s="13"/>
      <c r="U166" s="14" t="str">
        <f t="shared" si="23"/>
        <v>NO</v>
      </c>
    </row>
    <row r="167" spans="1:21" x14ac:dyDescent="0.3">
      <c r="A167" s="15" t="str">
        <f t="shared" si="16"/>
        <v>ST166</v>
      </c>
      <c r="B167" s="16" t="s">
        <v>13</v>
      </c>
      <c r="C167" s="16">
        <v>23</v>
      </c>
      <c r="D167" s="16" t="s">
        <v>17</v>
      </c>
      <c r="E167" s="16">
        <v>8</v>
      </c>
      <c r="F167" s="16">
        <f t="shared" ca="1" si="17"/>
        <v>55</v>
      </c>
      <c r="G167" s="16">
        <v>5.3</v>
      </c>
      <c r="H167" s="16">
        <v>62</v>
      </c>
      <c r="I167" s="16">
        <v>46</v>
      </c>
      <c r="J167" s="16">
        <v>63</v>
      </c>
      <c r="K167" s="16">
        <v>58</v>
      </c>
      <c r="L167" s="16">
        <v>75</v>
      </c>
      <c r="M167" s="16">
        <v>65</v>
      </c>
      <c r="N167" s="16">
        <v>91</v>
      </c>
      <c r="O167" s="16">
        <f t="shared" si="18"/>
        <v>70.399999999999991</v>
      </c>
      <c r="P167" s="16" t="str">
        <f t="shared" si="19"/>
        <v>Pass</v>
      </c>
      <c r="Q167" s="16" t="str">
        <f t="shared" si="20"/>
        <v>B</v>
      </c>
      <c r="R167" s="16">
        <f t="shared" si="21"/>
        <v>0</v>
      </c>
      <c r="S167" s="16" t="str">
        <f t="shared" si="22"/>
        <v>GOOD</v>
      </c>
      <c r="T167" s="16"/>
      <c r="U167" s="17" t="str">
        <f t="shared" si="23"/>
        <v>YES</v>
      </c>
    </row>
    <row r="168" spans="1:21" x14ac:dyDescent="0.3">
      <c r="A168" s="12" t="str">
        <f t="shared" si="16"/>
        <v>ST167</v>
      </c>
      <c r="B168" s="13" t="s">
        <v>15</v>
      </c>
      <c r="C168" s="13">
        <v>23</v>
      </c>
      <c r="D168" s="13" t="s">
        <v>16</v>
      </c>
      <c r="E168" s="13">
        <v>7</v>
      </c>
      <c r="F168" s="13">
        <f t="shared" ca="1" si="17"/>
        <v>78</v>
      </c>
      <c r="G168" s="13">
        <v>4.7</v>
      </c>
      <c r="H168" s="13">
        <v>78</v>
      </c>
      <c r="I168" s="13">
        <v>49</v>
      </c>
      <c r="J168" s="13">
        <v>71</v>
      </c>
      <c r="K168" s="13">
        <v>68</v>
      </c>
      <c r="L168" s="13">
        <v>31</v>
      </c>
      <c r="M168" s="13">
        <v>78</v>
      </c>
      <c r="N168" s="13">
        <v>83</v>
      </c>
      <c r="O168" s="13">
        <f t="shared" si="18"/>
        <v>66.2</v>
      </c>
      <c r="P168" s="13" t="str">
        <f t="shared" si="19"/>
        <v>Fail</v>
      </c>
      <c r="Q168" s="13" t="str">
        <f t="shared" si="20"/>
        <v>B</v>
      </c>
      <c r="R168" s="13">
        <f t="shared" si="21"/>
        <v>1</v>
      </c>
      <c r="S168" s="13" t="str">
        <f t="shared" si="22"/>
        <v>GOOD</v>
      </c>
      <c r="T168" s="13"/>
      <c r="U168" s="14" t="str">
        <f t="shared" si="23"/>
        <v>NO</v>
      </c>
    </row>
    <row r="169" spans="1:21" x14ac:dyDescent="0.3">
      <c r="A169" s="15" t="str">
        <f t="shared" si="16"/>
        <v>ST168</v>
      </c>
      <c r="B169" s="16" t="s">
        <v>13</v>
      </c>
      <c r="C169" s="16">
        <v>23</v>
      </c>
      <c r="D169" s="16" t="s">
        <v>17</v>
      </c>
      <c r="E169" s="16">
        <v>8</v>
      </c>
      <c r="F169" s="16">
        <f t="shared" ca="1" si="17"/>
        <v>82</v>
      </c>
      <c r="G169" s="16">
        <v>4.2</v>
      </c>
      <c r="H169" s="16">
        <v>83</v>
      </c>
      <c r="I169" s="16">
        <v>38</v>
      </c>
      <c r="J169" s="16">
        <v>58</v>
      </c>
      <c r="K169" s="16">
        <v>86</v>
      </c>
      <c r="L169" s="16">
        <v>97</v>
      </c>
      <c r="M169" s="16">
        <v>91</v>
      </c>
      <c r="N169" s="16">
        <v>47</v>
      </c>
      <c r="O169" s="16">
        <f t="shared" si="18"/>
        <v>75.8</v>
      </c>
      <c r="P169" s="16" t="str">
        <f t="shared" si="19"/>
        <v>Pass</v>
      </c>
      <c r="Q169" s="16" t="str">
        <f t="shared" si="20"/>
        <v>B</v>
      </c>
      <c r="R169" s="16">
        <f t="shared" si="21"/>
        <v>0</v>
      </c>
      <c r="S169" s="16" t="str">
        <f t="shared" si="22"/>
        <v>GOOD</v>
      </c>
      <c r="T169" s="16"/>
      <c r="U169" s="17" t="str">
        <f t="shared" si="23"/>
        <v>YES</v>
      </c>
    </row>
    <row r="170" spans="1:21" x14ac:dyDescent="0.3">
      <c r="A170" s="12" t="str">
        <f t="shared" si="16"/>
        <v>ST169</v>
      </c>
      <c r="B170" s="13" t="s">
        <v>15</v>
      </c>
      <c r="C170" s="13">
        <v>23</v>
      </c>
      <c r="D170" s="13" t="s">
        <v>16</v>
      </c>
      <c r="E170" s="13">
        <v>7</v>
      </c>
      <c r="F170" s="13">
        <f t="shared" ca="1" si="17"/>
        <v>63</v>
      </c>
      <c r="G170" s="13">
        <v>4.0999999999999996</v>
      </c>
      <c r="H170" s="13">
        <v>56</v>
      </c>
      <c r="I170" s="13">
        <v>32</v>
      </c>
      <c r="J170" s="13">
        <v>29</v>
      </c>
      <c r="K170" s="13">
        <v>58</v>
      </c>
      <c r="L170" s="13">
        <v>94</v>
      </c>
      <c r="M170" s="13">
        <v>79</v>
      </c>
      <c r="N170" s="13">
        <v>33</v>
      </c>
      <c r="O170" s="13">
        <f t="shared" si="18"/>
        <v>58.599999999999994</v>
      </c>
      <c r="P170" s="13" t="str">
        <f t="shared" si="19"/>
        <v>Fail</v>
      </c>
      <c r="Q170" s="13" t="str">
        <f t="shared" si="20"/>
        <v>C</v>
      </c>
      <c r="R170" s="13">
        <f t="shared" si="21"/>
        <v>2</v>
      </c>
      <c r="S170" s="13" t="str">
        <f t="shared" si="22"/>
        <v>AVERAGE</v>
      </c>
      <c r="T170" s="13"/>
      <c r="U170" s="14" t="str">
        <f t="shared" si="23"/>
        <v>NO</v>
      </c>
    </row>
    <row r="171" spans="1:21" x14ac:dyDescent="0.3">
      <c r="A171" s="15" t="str">
        <f t="shared" si="16"/>
        <v>ST170</v>
      </c>
      <c r="B171" s="16" t="s">
        <v>13</v>
      </c>
      <c r="C171" s="16">
        <v>21</v>
      </c>
      <c r="D171" s="16" t="s">
        <v>17</v>
      </c>
      <c r="E171" s="16">
        <v>8</v>
      </c>
      <c r="F171" s="16">
        <f t="shared" ca="1" si="17"/>
        <v>53</v>
      </c>
      <c r="G171" s="16">
        <v>2.2999999999999998</v>
      </c>
      <c r="H171" s="16">
        <v>51</v>
      </c>
      <c r="I171" s="16">
        <v>39</v>
      </c>
      <c r="J171" s="16">
        <v>55</v>
      </c>
      <c r="K171" s="16">
        <v>91</v>
      </c>
      <c r="L171" s="16">
        <v>37</v>
      </c>
      <c r="M171" s="16">
        <v>97</v>
      </c>
      <c r="N171" s="16">
        <v>34</v>
      </c>
      <c r="O171" s="16">
        <f t="shared" si="18"/>
        <v>62.8</v>
      </c>
      <c r="P171" s="16" t="str">
        <f t="shared" si="19"/>
        <v>Fail</v>
      </c>
      <c r="Q171" s="16" t="str">
        <f t="shared" si="20"/>
        <v>B</v>
      </c>
      <c r="R171" s="16">
        <f t="shared" si="21"/>
        <v>2</v>
      </c>
      <c r="S171" s="16" t="str">
        <f t="shared" si="22"/>
        <v>GOOD</v>
      </c>
      <c r="T171" s="16"/>
      <c r="U171" s="17" t="str">
        <f t="shared" si="23"/>
        <v>NO</v>
      </c>
    </row>
    <row r="172" spans="1:21" x14ac:dyDescent="0.3">
      <c r="A172" s="12" t="str">
        <f t="shared" si="16"/>
        <v>ST171</v>
      </c>
      <c r="B172" s="13" t="s">
        <v>13</v>
      </c>
      <c r="C172" s="13">
        <v>22</v>
      </c>
      <c r="D172" s="13" t="s">
        <v>16</v>
      </c>
      <c r="E172" s="13">
        <v>8</v>
      </c>
      <c r="F172" s="13">
        <f t="shared" ca="1" si="17"/>
        <v>94</v>
      </c>
      <c r="G172" s="13">
        <v>3.5</v>
      </c>
      <c r="H172" s="13">
        <v>74</v>
      </c>
      <c r="I172" s="13">
        <v>41</v>
      </c>
      <c r="J172" s="13">
        <v>10</v>
      </c>
      <c r="K172" s="13">
        <v>46</v>
      </c>
      <c r="L172" s="13">
        <v>72</v>
      </c>
      <c r="M172" s="13">
        <v>97</v>
      </c>
      <c r="N172" s="13">
        <v>86</v>
      </c>
      <c r="O172" s="13">
        <f t="shared" si="18"/>
        <v>62.2</v>
      </c>
      <c r="P172" s="13" t="str">
        <f t="shared" si="19"/>
        <v>Fail</v>
      </c>
      <c r="Q172" s="13" t="str">
        <f t="shared" si="20"/>
        <v>B</v>
      </c>
      <c r="R172" s="13">
        <f t="shared" si="21"/>
        <v>1</v>
      </c>
      <c r="S172" s="13" t="str">
        <f t="shared" si="22"/>
        <v>GOOD</v>
      </c>
      <c r="T172" s="13"/>
      <c r="U172" s="14" t="str">
        <f t="shared" si="23"/>
        <v>NO</v>
      </c>
    </row>
    <row r="173" spans="1:21" x14ac:dyDescent="0.3">
      <c r="A173" s="15" t="str">
        <f t="shared" si="16"/>
        <v>ST172</v>
      </c>
      <c r="B173" s="16" t="s">
        <v>15</v>
      </c>
      <c r="C173" s="16">
        <v>24</v>
      </c>
      <c r="D173" s="16" t="s">
        <v>18</v>
      </c>
      <c r="E173" s="16">
        <v>7</v>
      </c>
      <c r="F173" s="16">
        <f t="shared" ca="1" si="17"/>
        <v>55</v>
      </c>
      <c r="G173" s="16">
        <v>6</v>
      </c>
      <c r="H173" s="16">
        <v>51</v>
      </c>
      <c r="I173" s="16">
        <v>20</v>
      </c>
      <c r="J173" s="16">
        <v>70</v>
      </c>
      <c r="K173" s="16">
        <v>61</v>
      </c>
      <c r="L173" s="16">
        <v>24</v>
      </c>
      <c r="M173" s="16">
        <v>64</v>
      </c>
      <c r="N173" s="16">
        <v>43</v>
      </c>
      <c r="O173" s="16">
        <f t="shared" si="18"/>
        <v>52.400000000000006</v>
      </c>
      <c r="P173" s="16" t="str">
        <f t="shared" si="19"/>
        <v>Fail</v>
      </c>
      <c r="Q173" s="16" t="str">
        <f t="shared" si="20"/>
        <v>C</v>
      </c>
      <c r="R173" s="16">
        <f t="shared" si="21"/>
        <v>1</v>
      </c>
      <c r="S173" s="16" t="str">
        <f t="shared" si="22"/>
        <v>AVERAGE</v>
      </c>
      <c r="T173" s="16"/>
      <c r="U173" s="17" t="str">
        <f t="shared" si="23"/>
        <v>NO</v>
      </c>
    </row>
    <row r="174" spans="1:21" x14ac:dyDescent="0.3">
      <c r="A174" s="12" t="str">
        <f t="shared" si="16"/>
        <v>ST173</v>
      </c>
      <c r="B174" s="13" t="s">
        <v>13</v>
      </c>
      <c r="C174" s="13">
        <v>24</v>
      </c>
      <c r="D174" s="13" t="s">
        <v>16</v>
      </c>
      <c r="E174" s="13">
        <v>8</v>
      </c>
      <c r="F174" s="13">
        <f t="shared" ca="1" si="17"/>
        <v>80</v>
      </c>
      <c r="G174" s="13">
        <v>4.3</v>
      </c>
      <c r="H174" s="13">
        <v>71</v>
      </c>
      <c r="I174" s="13">
        <v>49</v>
      </c>
      <c r="J174" s="13">
        <v>88</v>
      </c>
      <c r="K174" s="13">
        <v>21</v>
      </c>
      <c r="L174" s="13">
        <v>69</v>
      </c>
      <c r="M174" s="13">
        <v>78</v>
      </c>
      <c r="N174" s="13">
        <v>78</v>
      </c>
      <c r="O174" s="13">
        <f t="shared" si="18"/>
        <v>66.8</v>
      </c>
      <c r="P174" s="13" t="str">
        <f t="shared" si="19"/>
        <v>Fail</v>
      </c>
      <c r="Q174" s="13" t="str">
        <f t="shared" si="20"/>
        <v>B</v>
      </c>
      <c r="R174" s="13">
        <f t="shared" si="21"/>
        <v>1</v>
      </c>
      <c r="S174" s="13" t="str">
        <f t="shared" si="22"/>
        <v>GOOD</v>
      </c>
      <c r="T174" s="13"/>
      <c r="U174" s="14" t="str">
        <f t="shared" si="23"/>
        <v>NO</v>
      </c>
    </row>
    <row r="175" spans="1:21" x14ac:dyDescent="0.3">
      <c r="A175" s="15" t="str">
        <f t="shared" si="16"/>
        <v>ST174</v>
      </c>
      <c r="B175" s="16" t="s">
        <v>13</v>
      </c>
      <c r="C175" s="16">
        <v>24</v>
      </c>
      <c r="D175" s="16" t="s">
        <v>17</v>
      </c>
      <c r="E175" s="16">
        <v>7</v>
      </c>
      <c r="F175" s="16">
        <f t="shared" ca="1" si="17"/>
        <v>48</v>
      </c>
      <c r="G175" s="16">
        <v>1.8</v>
      </c>
      <c r="H175" s="16">
        <v>57</v>
      </c>
      <c r="I175" s="16">
        <v>38</v>
      </c>
      <c r="J175" s="16">
        <v>15</v>
      </c>
      <c r="K175" s="16">
        <v>23</v>
      </c>
      <c r="L175" s="16">
        <v>93</v>
      </c>
      <c r="M175" s="16">
        <v>75</v>
      </c>
      <c r="N175" s="16">
        <v>81</v>
      </c>
      <c r="O175" s="16">
        <f t="shared" si="18"/>
        <v>57.4</v>
      </c>
      <c r="P175" s="16" t="str">
        <f t="shared" si="19"/>
        <v>Fail</v>
      </c>
      <c r="Q175" s="16" t="str">
        <f t="shared" si="20"/>
        <v>C</v>
      </c>
      <c r="R175" s="16">
        <f t="shared" si="21"/>
        <v>2</v>
      </c>
      <c r="S175" s="16" t="str">
        <f t="shared" si="22"/>
        <v>AVERAGE</v>
      </c>
      <c r="T175" s="16"/>
      <c r="U175" s="17" t="str">
        <f t="shared" si="23"/>
        <v>NO</v>
      </c>
    </row>
    <row r="176" spans="1:21" x14ac:dyDescent="0.3">
      <c r="A176" s="12" t="str">
        <f t="shared" si="16"/>
        <v>ST175</v>
      </c>
      <c r="B176" s="13" t="s">
        <v>15</v>
      </c>
      <c r="C176" s="13">
        <v>23</v>
      </c>
      <c r="D176" s="13" t="s">
        <v>16</v>
      </c>
      <c r="E176" s="13">
        <v>7</v>
      </c>
      <c r="F176" s="13">
        <f t="shared" ca="1" si="17"/>
        <v>60</v>
      </c>
      <c r="G176" s="13">
        <v>1.9</v>
      </c>
      <c r="H176" s="13">
        <v>53</v>
      </c>
      <c r="I176" s="13">
        <v>41</v>
      </c>
      <c r="J176" s="13">
        <v>71</v>
      </c>
      <c r="K176" s="13">
        <v>46</v>
      </c>
      <c r="L176" s="13">
        <v>85</v>
      </c>
      <c r="M176" s="13">
        <v>60</v>
      </c>
      <c r="N176" s="13">
        <v>34</v>
      </c>
      <c r="O176" s="13">
        <f t="shared" si="18"/>
        <v>59.199999999999996</v>
      </c>
      <c r="P176" s="13" t="str">
        <f t="shared" si="19"/>
        <v>Fail</v>
      </c>
      <c r="Q176" s="13" t="str">
        <f t="shared" si="20"/>
        <v>C</v>
      </c>
      <c r="R176" s="13">
        <f t="shared" si="21"/>
        <v>1</v>
      </c>
      <c r="S176" s="13" t="str">
        <f t="shared" si="22"/>
        <v>AVERAGE</v>
      </c>
      <c r="T176" s="13"/>
      <c r="U176" s="14" t="str">
        <f t="shared" si="23"/>
        <v>NO</v>
      </c>
    </row>
    <row r="177" spans="1:21" x14ac:dyDescent="0.3">
      <c r="A177" s="15" t="str">
        <f t="shared" si="16"/>
        <v>ST176</v>
      </c>
      <c r="B177" s="16" t="s">
        <v>15</v>
      </c>
      <c r="C177" s="16">
        <v>21</v>
      </c>
      <c r="D177" s="16" t="s">
        <v>16</v>
      </c>
      <c r="E177" s="16">
        <v>7</v>
      </c>
      <c r="F177" s="16">
        <f t="shared" ca="1" si="17"/>
        <v>77</v>
      </c>
      <c r="G177" s="16">
        <v>1.7</v>
      </c>
      <c r="H177" s="16">
        <v>80</v>
      </c>
      <c r="I177" s="16">
        <v>19</v>
      </c>
      <c r="J177" s="16">
        <v>76</v>
      </c>
      <c r="K177" s="16">
        <v>18</v>
      </c>
      <c r="L177" s="16">
        <v>34</v>
      </c>
      <c r="M177" s="16">
        <v>60</v>
      </c>
      <c r="N177" s="16">
        <v>50</v>
      </c>
      <c r="O177" s="16">
        <f t="shared" si="18"/>
        <v>47.599999999999994</v>
      </c>
      <c r="P177" s="16" t="str">
        <f t="shared" si="19"/>
        <v>Fail</v>
      </c>
      <c r="Q177" s="16" t="str">
        <f t="shared" si="20"/>
        <v>D</v>
      </c>
      <c r="R177" s="16">
        <f t="shared" si="21"/>
        <v>2</v>
      </c>
      <c r="S177" s="16" t="str">
        <f t="shared" si="22"/>
        <v>AVERAGE</v>
      </c>
      <c r="T177" s="16"/>
      <c r="U177" s="17" t="str">
        <f t="shared" si="23"/>
        <v>NO</v>
      </c>
    </row>
    <row r="178" spans="1:21" x14ac:dyDescent="0.3">
      <c r="A178" s="12" t="str">
        <f t="shared" si="16"/>
        <v>ST177</v>
      </c>
      <c r="B178" s="13" t="s">
        <v>13</v>
      </c>
      <c r="C178" s="13">
        <v>24</v>
      </c>
      <c r="D178" s="13" t="s">
        <v>16</v>
      </c>
      <c r="E178" s="13">
        <v>7</v>
      </c>
      <c r="F178" s="13">
        <f t="shared" ca="1" si="17"/>
        <v>46</v>
      </c>
      <c r="G178" s="13">
        <v>2</v>
      </c>
      <c r="H178" s="13">
        <v>55</v>
      </c>
      <c r="I178" s="13">
        <v>31</v>
      </c>
      <c r="J178" s="13">
        <v>59</v>
      </c>
      <c r="K178" s="13">
        <v>35</v>
      </c>
      <c r="L178" s="13">
        <v>47</v>
      </c>
      <c r="M178" s="13">
        <v>89</v>
      </c>
      <c r="N178" s="13">
        <v>82</v>
      </c>
      <c r="O178" s="13">
        <f t="shared" si="18"/>
        <v>62.4</v>
      </c>
      <c r="P178" s="13" t="str">
        <f t="shared" si="19"/>
        <v>Fail</v>
      </c>
      <c r="Q178" s="13" t="str">
        <f t="shared" si="20"/>
        <v>B</v>
      </c>
      <c r="R178" s="13">
        <f t="shared" si="21"/>
        <v>1</v>
      </c>
      <c r="S178" s="13" t="str">
        <f t="shared" si="22"/>
        <v>GOOD</v>
      </c>
      <c r="T178" s="13"/>
      <c r="U178" s="14" t="str">
        <f t="shared" si="23"/>
        <v>NO</v>
      </c>
    </row>
    <row r="179" spans="1:21" x14ac:dyDescent="0.3">
      <c r="A179" s="15" t="str">
        <f t="shared" si="16"/>
        <v>ST178</v>
      </c>
      <c r="B179" s="16" t="s">
        <v>15</v>
      </c>
      <c r="C179" s="16">
        <v>21</v>
      </c>
      <c r="D179" s="16" t="s">
        <v>18</v>
      </c>
      <c r="E179" s="16">
        <v>8</v>
      </c>
      <c r="F179" s="16">
        <f t="shared" ca="1" si="17"/>
        <v>83</v>
      </c>
      <c r="G179" s="16">
        <v>1.8</v>
      </c>
      <c r="H179" s="16">
        <v>98</v>
      </c>
      <c r="I179" s="16">
        <v>42</v>
      </c>
      <c r="J179" s="16">
        <v>34</v>
      </c>
      <c r="K179" s="16">
        <v>92</v>
      </c>
      <c r="L179" s="16">
        <v>69</v>
      </c>
      <c r="M179" s="16">
        <v>93</v>
      </c>
      <c r="N179" s="16">
        <v>99</v>
      </c>
      <c r="O179" s="16">
        <f t="shared" si="18"/>
        <v>77.400000000000006</v>
      </c>
      <c r="P179" s="16" t="str">
        <f t="shared" si="19"/>
        <v>Fail</v>
      </c>
      <c r="Q179" s="16" t="str">
        <f t="shared" si="20"/>
        <v>B</v>
      </c>
      <c r="R179" s="16">
        <f t="shared" si="21"/>
        <v>1</v>
      </c>
      <c r="S179" s="16" t="str">
        <f t="shared" si="22"/>
        <v>GOOD</v>
      </c>
      <c r="T179" s="16"/>
      <c r="U179" s="17" t="str">
        <f t="shared" si="23"/>
        <v>NO</v>
      </c>
    </row>
    <row r="180" spans="1:21" x14ac:dyDescent="0.3">
      <c r="A180" s="12" t="str">
        <f t="shared" si="16"/>
        <v>ST179</v>
      </c>
      <c r="B180" s="13" t="s">
        <v>15</v>
      </c>
      <c r="C180" s="13">
        <v>24</v>
      </c>
      <c r="D180" s="13" t="s">
        <v>18</v>
      </c>
      <c r="E180" s="13">
        <v>8</v>
      </c>
      <c r="F180" s="13">
        <f t="shared" ca="1" si="17"/>
        <v>87</v>
      </c>
      <c r="G180" s="13">
        <v>4.2</v>
      </c>
      <c r="H180" s="13">
        <v>98</v>
      </c>
      <c r="I180" s="13">
        <v>39</v>
      </c>
      <c r="J180" s="13">
        <v>90</v>
      </c>
      <c r="K180" s="13">
        <v>74</v>
      </c>
      <c r="L180" s="13">
        <v>60</v>
      </c>
      <c r="M180" s="13">
        <v>56</v>
      </c>
      <c r="N180" s="13">
        <v>51</v>
      </c>
      <c r="O180" s="13">
        <f t="shared" si="18"/>
        <v>66.2</v>
      </c>
      <c r="P180" s="13" t="str">
        <f t="shared" si="19"/>
        <v>Pass</v>
      </c>
      <c r="Q180" s="13" t="str">
        <f t="shared" si="20"/>
        <v>B</v>
      </c>
      <c r="R180" s="13">
        <f t="shared" si="21"/>
        <v>0</v>
      </c>
      <c r="S180" s="13" t="str">
        <f t="shared" si="22"/>
        <v>GOOD</v>
      </c>
      <c r="T180" s="13"/>
      <c r="U180" s="14" t="str">
        <f t="shared" si="23"/>
        <v>YES</v>
      </c>
    </row>
    <row r="181" spans="1:21" x14ac:dyDescent="0.3">
      <c r="A181" s="15" t="str">
        <f t="shared" si="16"/>
        <v>ST180</v>
      </c>
      <c r="B181" s="16" t="s">
        <v>13</v>
      </c>
      <c r="C181" s="16">
        <v>22</v>
      </c>
      <c r="D181" s="16" t="s">
        <v>16</v>
      </c>
      <c r="E181" s="16">
        <v>7</v>
      </c>
      <c r="F181" s="16">
        <f t="shared" ca="1" si="17"/>
        <v>51</v>
      </c>
      <c r="G181" s="16">
        <v>5.5</v>
      </c>
      <c r="H181" s="16">
        <v>58</v>
      </c>
      <c r="I181" s="16">
        <v>35</v>
      </c>
      <c r="J181" s="16">
        <v>29</v>
      </c>
      <c r="K181" s="16">
        <v>54</v>
      </c>
      <c r="L181" s="16">
        <v>87</v>
      </c>
      <c r="M181" s="16">
        <v>64</v>
      </c>
      <c r="N181" s="16">
        <v>48</v>
      </c>
      <c r="O181" s="16">
        <f t="shared" si="18"/>
        <v>56.399999999999991</v>
      </c>
      <c r="P181" s="16" t="str">
        <f t="shared" si="19"/>
        <v>Fail</v>
      </c>
      <c r="Q181" s="16" t="str">
        <f t="shared" si="20"/>
        <v>C</v>
      </c>
      <c r="R181" s="16">
        <f t="shared" si="21"/>
        <v>1</v>
      </c>
      <c r="S181" s="16" t="str">
        <f t="shared" si="22"/>
        <v>AVERAGE</v>
      </c>
      <c r="T181" s="16"/>
      <c r="U181" s="17" t="str">
        <f t="shared" si="23"/>
        <v>NO</v>
      </c>
    </row>
    <row r="182" spans="1:21" x14ac:dyDescent="0.3">
      <c r="A182" s="12" t="str">
        <f t="shared" si="16"/>
        <v>ST181</v>
      </c>
      <c r="B182" s="13" t="s">
        <v>13</v>
      </c>
      <c r="C182" s="13">
        <v>22</v>
      </c>
      <c r="D182" s="13" t="s">
        <v>14</v>
      </c>
      <c r="E182" s="13">
        <v>8</v>
      </c>
      <c r="F182" s="13">
        <f t="shared" ca="1" si="17"/>
        <v>91</v>
      </c>
      <c r="G182" s="13">
        <v>2.9</v>
      </c>
      <c r="H182" s="13">
        <v>91</v>
      </c>
      <c r="I182" s="13">
        <v>28</v>
      </c>
      <c r="J182" s="13">
        <v>83</v>
      </c>
      <c r="K182" s="13">
        <v>80</v>
      </c>
      <c r="L182" s="13">
        <v>43</v>
      </c>
      <c r="M182" s="13">
        <v>62</v>
      </c>
      <c r="N182" s="13">
        <v>84</v>
      </c>
      <c r="O182" s="13">
        <f t="shared" si="18"/>
        <v>70.399999999999991</v>
      </c>
      <c r="P182" s="13" t="str">
        <f t="shared" si="19"/>
        <v>Pass</v>
      </c>
      <c r="Q182" s="13" t="str">
        <f t="shared" si="20"/>
        <v>B</v>
      </c>
      <c r="R182" s="13">
        <f t="shared" si="21"/>
        <v>0</v>
      </c>
      <c r="S182" s="13" t="str">
        <f t="shared" si="22"/>
        <v>GOOD</v>
      </c>
      <c r="T182" s="13"/>
      <c r="U182" s="14" t="str">
        <f t="shared" si="23"/>
        <v>YES</v>
      </c>
    </row>
    <row r="183" spans="1:21" x14ac:dyDescent="0.3">
      <c r="A183" s="15" t="str">
        <f t="shared" si="16"/>
        <v>ST182</v>
      </c>
      <c r="B183" s="16" t="s">
        <v>15</v>
      </c>
      <c r="C183" s="16">
        <v>21</v>
      </c>
      <c r="D183" s="16" t="s">
        <v>16</v>
      </c>
      <c r="E183" s="16">
        <v>8</v>
      </c>
      <c r="F183" s="16">
        <f t="shared" ca="1" si="17"/>
        <v>81</v>
      </c>
      <c r="G183" s="16">
        <v>2.2999999999999998</v>
      </c>
      <c r="H183" s="16">
        <v>95</v>
      </c>
      <c r="I183" s="16">
        <v>37</v>
      </c>
      <c r="J183" s="16">
        <v>49</v>
      </c>
      <c r="K183" s="16">
        <v>65</v>
      </c>
      <c r="L183" s="16">
        <v>86</v>
      </c>
      <c r="M183" s="16">
        <v>55</v>
      </c>
      <c r="N183" s="16">
        <v>96</v>
      </c>
      <c r="O183" s="16">
        <f t="shared" si="18"/>
        <v>70.199999999999989</v>
      </c>
      <c r="P183" s="16" t="str">
        <f t="shared" si="19"/>
        <v>Pass</v>
      </c>
      <c r="Q183" s="16" t="str">
        <f t="shared" si="20"/>
        <v>B</v>
      </c>
      <c r="R183" s="16">
        <f t="shared" si="21"/>
        <v>0</v>
      </c>
      <c r="S183" s="16" t="str">
        <f t="shared" si="22"/>
        <v>GOOD</v>
      </c>
      <c r="T183" s="16"/>
      <c r="U183" s="17" t="str">
        <f t="shared" si="23"/>
        <v>YES</v>
      </c>
    </row>
    <row r="184" spans="1:21" x14ac:dyDescent="0.3">
      <c r="A184" s="12" t="str">
        <f t="shared" si="16"/>
        <v>ST183</v>
      </c>
      <c r="B184" s="13" t="s">
        <v>15</v>
      </c>
      <c r="C184" s="13">
        <v>22</v>
      </c>
      <c r="D184" s="13" t="s">
        <v>14</v>
      </c>
      <c r="E184" s="13">
        <v>7</v>
      </c>
      <c r="F184" s="13">
        <f t="shared" ca="1" si="17"/>
        <v>44</v>
      </c>
      <c r="G184" s="13">
        <v>4.4000000000000004</v>
      </c>
      <c r="H184" s="13">
        <v>64</v>
      </c>
      <c r="I184" s="13">
        <v>28</v>
      </c>
      <c r="J184" s="13">
        <v>33</v>
      </c>
      <c r="K184" s="13">
        <v>93</v>
      </c>
      <c r="L184" s="13">
        <v>94</v>
      </c>
      <c r="M184" s="13">
        <v>97</v>
      </c>
      <c r="N184" s="13">
        <v>72</v>
      </c>
      <c r="O184" s="13">
        <f t="shared" si="18"/>
        <v>77.8</v>
      </c>
      <c r="P184" s="13" t="str">
        <f t="shared" si="19"/>
        <v>Fail</v>
      </c>
      <c r="Q184" s="13" t="str">
        <f t="shared" si="20"/>
        <v>B</v>
      </c>
      <c r="R184" s="13">
        <f t="shared" si="21"/>
        <v>1</v>
      </c>
      <c r="S184" s="13" t="str">
        <f t="shared" si="22"/>
        <v>GOOD</v>
      </c>
      <c r="T184" s="13"/>
      <c r="U184" s="14" t="str">
        <f t="shared" si="23"/>
        <v>NO</v>
      </c>
    </row>
    <row r="185" spans="1:21" x14ac:dyDescent="0.3">
      <c r="A185" s="15" t="str">
        <f t="shared" si="16"/>
        <v>ST184</v>
      </c>
      <c r="B185" s="16" t="s">
        <v>15</v>
      </c>
      <c r="C185" s="16">
        <v>24</v>
      </c>
      <c r="D185" s="16" t="s">
        <v>17</v>
      </c>
      <c r="E185" s="16">
        <v>8</v>
      </c>
      <c r="F185" s="16">
        <f t="shared" ca="1" si="17"/>
        <v>43</v>
      </c>
      <c r="G185" s="16">
        <v>3</v>
      </c>
      <c r="H185" s="16">
        <v>61</v>
      </c>
      <c r="I185" s="16">
        <v>40</v>
      </c>
      <c r="J185" s="16">
        <v>35</v>
      </c>
      <c r="K185" s="16">
        <v>27</v>
      </c>
      <c r="L185" s="16">
        <v>40</v>
      </c>
      <c r="M185" s="16">
        <v>83</v>
      </c>
      <c r="N185" s="16">
        <v>98</v>
      </c>
      <c r="O185" s="16">
        <f t="shared" si="18"/>
        <v>56.599999999999994</v>
      </c>
      <c r="P185" s="16" t="str">
        <f t="shared" si="19"/>
        <v>Fail</v>
      </c>
      <c r="Q185" s="16" t="str">
        <f t="shared" si="20"/>
        <v>C</v>
      </c>
      <c r="R185" s="16">
        <f t="shared" si="21"/>
        <v>2</v>
      </c>
      <c r="S185" s="16" t="str">
        <f t="shared" si="22"/>
        <v>AVERAGE</v>
      </c>
      <c r="T185" s="16"/>
      <c r="U185" s="17" t="str">
        <f t="shared" si="23"/>
        <v>NO</v>
      </c>
    </row>
    <row r="186" spans="1:21" x14ac:dyDescent="0.3">
      <c r="A186" s="12" t="str">
        <f t="shared" si="16"/>
        <v>ST185</v>
      </c>
      <c r="B186" s="13" t="s">
        <v>15</v>
      </c>
      <c r="C186" s="13">
        <v>24</v>
      </c>
      <c r="D186" s="13" t="s">
        <v>16</v>
      </c>
      <c r="E186" s="13">
        <v>8</v>
      </c>
      <c r="F186" s="13">
        <f t="shared" ca="1" si="17"/>
        <v>43</v>
      </c>
      <c r="G186" s="13">
        <v>1.9</v>
      </c>
      <c r="H186" s="13">
        <v>68</v>
      </c>
      <c r="I186" s="13">
        <v>41</v>
      </c>
      <c r="J186" s="13">
        <v>62</v>
      </c>
      <c r="K186" s="13">
        <v>42</v>
      </c>
      <c r="L186" s="13">
        <v>80</v>
      </c>
      <c r="M186" s="13">
        <v>75</v>
      </c>
      <c r="N186" s="13">
        <v>64</v>
      </c>
      <c r="O186" s="13">
        <f t="shared" si="18"/>
        <v>64.600000000000009</v>
      </c>
      <c r="P186" s="13" t="str">
        <f t="shared" si="19"/>
        <v>Pass</v>
      </c>
      <c r="Q186" s="13" t="str">
        <f t="shared" si="20"/>
        <v>B</v>
      </c>
      <c r="R186" s="13">
        <f t="shared" si="21"/>
        <v>0</v>
      </c>
      <c r="S186" s="13" t="str">
        <f t="shared" si="22"/>
        <v>GOOD</v>
      </c>
      <c r="T186" s="13"/>
      <c r="U186" s="14" t="str">
        <f t="shared" si="23"/>
        <v>YES</v>
      </c>
    </row>
    <row r="187" spans="1:21" x14ac:dyDescent="0.3">
      <c r="A187" s="15" t="str">
        <f t="shared" si="16"/>
        <v>ST186</v>
      </c>
      <c r="B187" s="16" t="s">
        <v>13</v>
      </c>
      <c r="C187" s="16">
        <v>21</v>
      </c>
      <c r="D187" s="16" t="s">
        <v>16</v>
      </c>
      <c r="E187" s="16">
        <v>8</v>
      </c>
      <c r="F187" s="16">
        <f t="shared" ca="1" si="17"/>
        <v>76</v>
      </c>
      <c r="G187" s="16">
        <v>1.3</v>
      </c>
      <c r="H187" s="16">
        <v>92</v>
      </c>
      <c r="I187" s="16">
        <v>35</v>
      </c>
      <c r="J187" s="16">
        <v>10</v>
      </c>
      <c r="K187" s="16">
        <v>19</v>
      </c>
      <c r="L187" s="16">
        <v>51</v>
      </c>
      <c r="M187" s="16">
        <v>74</v>
      </c>
      <c r="N187" s="16">
        <v>92</v>
      </c>
      <c r="O187" s="16">
        <f t="shared" si="18"/>
        <v>49.2</v>
      </c>
      <c r="P187" s="16" t="str">
        <f t="shared" si="19"/>
        <v>Fail</v>
      </c>
      <c r="Q187" s="16" t="str">
        <f t="shared" si="20"/>
        <v>D</v>
      </c>
      <c r="R187" s="16">
        <f t="shared" si="21"/>
        <v>2</v>
      </c>
      <c r="S187" s="16" t="str">
        <f t="shared" si="22"/>
        <v>AVERAGE</v>
      </c>
      <c r="T187" s="16"/>
      <c r="U187" s="17" t="str">
        <f t="shared" si="23"/>
        <v>NO</v>
      </c>
    </row>
    <row r="188" spans="1:21" x14ac:dyDescent="0.3">
      <c r="A188" s="12" t="str">
        <f t="shared" si="16"/>
        <v>ST187</v>
      </c>
      <c r="B188" s="13" t="s">
        <v>15</v>
      </c>
      <c r="C188" s="13">
        <v>24</v>
      </c>
      <c r="D188" s="13" t="s">
        <v>17</v>
      </c>
      <c r="E188" s="13">
        <v>8</v>
      </c>
      <c r="F188" s="13">
        <f t="shared" ca="1" si="17"/>
        <v>58</v>
      </c>
      <c r="G188" s="13">
        <v>3.2</v>
      </c>
      <c r="H188" s="13">
        <v>59</v>
      </c>
      <c r="I188" s="13">
        <v>26</v>
      </c>
      <c r="J188" s="13">
        <v>29</v>
      </c>
      <c r="K188" s="13">
        <v>57</v>
      </c>
      <c r="L188" s="13">
        <v>60</v>
      </c>
      <c r="M188" s="13">
        <v>81</v>
      </c>
      <c r="N188" s="13">
        <v>36</v>
      </c>
      <c r="O188" s="13">
        <f t="shared" si="18"/>
        <v>52.6</v>
      </c>
      <c r="P188" s="13" t="str">
        <f t="shared" si="19"/>
        <v>Fail</v>
      </c>
      <c r="Q188" s="13" t="str">
        <f t="shared" si="20"/>
        <v>C</v>
      </c>
      <c r="R188" s="13">
        <f t="shared" si="21"/>
        <v>2</v>
      </c>
      <c r="S188" s="13" t="str">
        <f t="shared" si="22"/>
        <v>AVERAGE</v>
      </c>
      <c r="T188" s="13"/>
      <c r="U188" s="14" t="str">
        <f t="shared" si="23"/>
        <v>NO</v>
      </c>
    </row>
    <row r="189" spans="1:21" x14ac:dyDescent="0.3">
      <c r="A189" s="15" t="str">
        <f t="shared" si="16"/>
        <v>ST188</v>
      </c>
      <c r="B189" s="16" t="s">
        <v>15</v>
      </c>
      <c r="C189" s="16">
        <v>21</v>
      </c>
      <c r="D189" s="16" t="s">
        <v>18</v>
      </c>
      <c r="E189" s="16">
        <v>8</v>
      </c>
      <c r="F189" s="16">
        <f t="shared" ca="1" si="17"/>
        <v>82</v>
      </c>
      <c r="G189" s="16">
        <v>3.3</v>
      </c>
      <c r="H189" s="16">
        <v>89</v>
      </c>
      <c r="I189" s="16">
        <v>31</v>
      </c>
      <c r="J189" s="16">
        <v>83</v>
      </c>
      <c r="K189" s="16">
        <v>69</v>
      </c>
      <c r="L189" s="16">
        <v>78</v>
      </c>
      <c r="M189" s="16">
        <v>90</v>
      </c>
      <c r="N189" s="16">
        <v>65</v>
      </c>
      <c r="O189" s="16">
        <f t="shared" si="18"/>
        <v>77</v>
      </c>
      <c r="P189" s="16" t="str">
        <f t="shared" si="19"/>
        <v>Pass</v>
      </c>
      <c r="Q189" s="16" t="str">
        <f t="shared" si="20"/>
        <v>B</v>
      </c>
      <c r="R189" s="16">
        <f t="shared" si="21"/>
        <v>0</v>
      </c>
      <c r="S189" s="16" t="str">
        <f t="shared" si="22"/>
        <v>GOOD</v>
      </c>
      <c r="T189" s="16"/>
      <c r="U189" s="17" t="str">
        <f t="shared" si="23"/>
        <v>YES</v>
      </c>
    </row>
    <row r="190" spans="1:21" x14ac:dyDescent="0.3">
      <c r="A190" s="12" t="str">
        <f t="shared" si="16"/>
        <v>ST189</v>
      </c>
      <c r="B190" s="13" t="s">
        <v>13</v>
      </c>
      <c r="C190" s="13">
        <v>22</v>
      </c>
      <c r="D190" s="13" t="s">
        <v>17</v>
      </c>
      <c r="E190" s="13">
        <v>8</v>
      </c>
      <c r="F190" s="13">
        <f t="shared" ca="1" si="17"/>
        <v>49</v>
      </c>
      <c r="G190" s="13">
        <v>1.1000000000000001</v>
      </c>
      <c r="H190" s="13">
        <v>52</v>
      </c>
      <c r="I190" s="13">
        <v>47</v>
      </c>
      <c r="J190" s="13">
        <v>24</v>
      </c>
      <c r="K190" s="13">
        <v>93</v>
      </c>
      <c r="L190" s="13">
        <v>42</v>
      </c>
      <c r="M190" s="13">
        <v>97</v>
      </c>
      <c r="N190" s="13">
        <v>42</v>
      </c>
      <c r="O190" s="13">
        <f t="shared" si="18"/>
        <v>59.599999999999994</v>
      </c>
      <c r="P190" s="13" t="str">
        <f t="shared" si="19"/>
        <v>Fail</v>
      </c>
      <c r="Q190" s="13" t="str">
        <f t="shared" si="20"/>
        <v>C</v>
      </c>
      <c r="R190" s="13">
        <f t="shared" si="21"/>
        <v>1</v>
      </c>
      <c r="S190" s="13" t="str">
        <f t="shared" si="22"/>
        <v>AVERAGE</v>
      </c>
      <c r="T190" s="13"/>
      <c r="U190" s="14" t="str">
        <f t="shared" si="23"/>
        <v>NO</v>
      </c>
    </row>
    <row r="191" spans="1:21" x14ac:dyDescent="0.3">
      <c r="A191" s="15" t="str">
        <f t="shared" si="16"/>
        <v>ST190</v>
      </c>
      <c r="B191" s="16" t="s">
        <v>13</v>
      </c>
      <c r="C191" s="16">
        <v>23</v>
      </c>
      <c r="D191" s="16" t="s">
        <v>16</v>
      </c>
      <c r="E191" s="16">
        <v>7</v>
      </c>
      <c r="F191" s="16">
        <f t="shared" ca="1" si="17"/>
        <v>91</v>
      </c>
      <c r="G191" s="16">
        <v>2.9</v>
      </c>
      <c r="H191" s="16">
        <v>83</v>
      </c>
      <c r="I191" s="16">
        <v>22</v>
      </c>
      <c r="J191" s="16">
        <v>32</v>
      </c>
      <c r="K191" s="16">
        <v>63</v>
      </c>
      <c r="L191" s="16">
        <v>58</v>
      </c>
      <c r="M191" s="16">
        <v>87</v>
      </c>
      <c r="N191" s="16">
        <v>37</v>
      </c>
      <c r="O191" s="16">
        <f t="shared" si="18"/>
        <v>55.400000000000006</v>
      </c>
      <c r="P191" s="16" t="str">
        <f t="shared" si="19"/>
        <v>Fail</v>
      </c>
      <c r="Q191" s="16" t="str">
        <f t="shared" si="20"/>
        <v>C</v>
      </c>
      <c r="R191" s="16">
        <f t="shared" si="21"/>
        <v>2</v>
      </c>
      <c r="S191" s="16" t="str">
        <f t="shared" si="22"/>
        <v>AVERAGE</v>
      </c>
      <c r="T191" s="16"/>
      <c r="U191" s="17" t="str">
        <f t="shared" si="23"/>
        <v>NO</v>
      </c>
    </row>
    <row r="192" spans="1:21" x14ac:dyDescent="0.3">
      <c r="A192" s="12" t="str">
        <f t="shared" si="16"/>
        <v>ST191</v>
      </c>
      <c r="B192" s="13" t="s">
        <v>15</v>
      </c>
      <c r="C192" s="13">
        <v>24</v>
      </c>
      <c r="D192" s="13" t="s">
        <v>17</v>
      </c>
      <c r="E192" s="13">
        <v>8</v>
      </c>
      <c r="F192" s="13">
        <f t="shared" ca="1" si="17"/>
        <v>84</v>
      </c>
      <c r="G192" s="13">
        <v>1.5</v>
      </c>
      <c r="H192" s="13">
        <v>82</v>
      </c>
      <c r="I192" s="13">
        <v>29</v>
      </c>
      <c r="J192" s="13">
        <v>68</v>
      </c>
      <c r="K192" s="13">
        <v>19</v>
      </c>
      <c r="L192" s="13">
        <v>85</v>
      </c>
      <c r="M192" s="13">
        <v>74</v>
      </c>
      <c r="N192" s="13">
        <v>95</v>
      </c>
      <c r="O192" s="13">
        <f t="shared" si="18"/>
        <v>68.2</v>
      </c>
      <c r="P192" s="13" t="str">
        <f t="shared" si="19"/>
        <v>Fail</v>
      </c>
      <c r="Q192" s="13" t="str">
        <f t="shared" si="20"/>
        <v>B</v>
      </c>
      <c r="R192" s="13">
        <f t="shared" si="21"/>
        <v>1</v>
      </c>
      <c r="S192" s="13" t="str">
        <f t="shared" si="22"/>
        <v>GOOD</v>
      </c>
      <c r="T192" s="13"/>
      <c r="U192" s="14" t="str">
        <f t="shared" si="23"/>
        <v>NO</v>
      </c>
    </row>
    <row r="193" spans="1:21" x14ac:dyDescent="0.3">
      <c r="A193" s="15" t="str">
        <f t="shared" si="16"/>
        <v>ST192</v>
      </c>
      <c r="B193" s="16" t="s">
        <v>15</v>
      </c>
      <c r="C193" s="16">
        <v>23</v>
      </c>
      <c r="D193" s="16" t="s">
        <v>17</v>
      </c>
      <c r="E193" s="16">
        <v>7</v>
      </c>
      <c r="F193" s="16">
        <f t="shared" ca="1" si="17"/>
        <v>41</v>
      </c>
      <c r="G193" s="16">
        <v>2</v>
      </c>
      <c r="H193" s="16">
        <v>52</v>
      </c>
      <c r="I193" s="16">
        <v>31</v>
      </c>
      <c r="J193" s="16">
        <v>43</v>
      </c>
      <c r="K193" s="16">
        <v>81</v>
      </c>
      <c r="L193" s="16">
        <v>68</v>
      </c>
      <c r="M193" s="16">
        <v>78</v>
      </c>
      <c r="N193" s="16">
        <v>67</v>
      </c>
      <c r="O193" s="16">
        <f t="shared" si="18"/>
        <v>67.400000000000006</v>
      </c>
      <c r="P193" s="16" t="str">
        <f t="shared" si="19"/>
        <v>Pass</v>
      </c>
      <c r="Q193" s="16" t="str">
        <f t="shared" si="20"/>
        <v>B</v>
      </c>
      <c r="R193" s="16">
        <f t="shared" si="21"/>
        <v>0</v>
      </c>
      <c r="S193" s="16" t="str">
        <f t="shared" si="22"/>
        <v>GOOD</v>
      </c>
      <c r="T193" s="16"/>
      <c r="U193" s="17" t="str">
        <f t="shared" si="23"/>
        <v>YES</v>
      </c>
    </row>
    <row r="194" spans="1:21" x14ac:dyDescent="0.3">
      <c r="A194" s="12" t="str">
        <f t="shared" si="16"/>
        <v>ST193</v>
      </c>
      <c r="B194" s="13" t="s">
        <v>13</v>
      </c>
      <c r="C194" s="13">
        <v>21</v>
      </c>
      <c r="D194" s="13" t="s">
        <v>16</v>
      </c>
      <c r="E194" s="13">
        <v>7</v>
      </c>
      <c r="F194" s="13">
        <f t="shared" ca="1" si="17"/>
        <v>80</v>
      </c>
      <c r="G194" s="13">
        <v>4.2</v>
      </c>
      <c r="H194" s="13">
        <v>95</v>
      </c>
      <c r="I194" s="13">
        <v>24</v>
      </c>
      <c r="J194" s="13">
        <v>20</v>
      </c>
      <c r="K194" s="13">
        <v>47</v>
      </c>
      <c r="L194" s="13">
        <v>58</v>
      </c>
      <c r="M194" s="13">
        <v>65</v>
      </c>
      <c r="N194" s="13">
        <v>96</v>
      </c>
      <c r="O194" s="13">
        <f t="shared" si="18"/>
        <v>57.199999999999996</v>
      </c>
      <c r="P194" s="13" t="str">
        <f t="shared" si="19"/>
        <v>Fail</v>
      </c>
      <c r="Q194" s="13" t="str">
        <f t="shared" si="20"/>
        <v>C</v>
      </c>
      <c r="R194" s="13">
        <f t="shared" si="21"/>
        <v>1</v>
      </c>
      <c r="S194" s="13" t="str">
        <f t="shared" si="22"/>
        <v>AVERAGE</v>
      </c>
      <c r="T194" s="13"/>
      <c r="U194" s="14" t="str">
        <f t="shared" si="23"/>
        <v>NO</v>
      </c>
    </row>
    <row r="195" spans="1:21" x14ac:dyDescent="0.3">
      <c r="A195" s="15" t="str">
        <f t="shared" ref="A195:A258" si="24">"ST"&amp;TEXT(ROW()-1,"000")</f>
        <v>ST194</v>
      </c>
      <c r="B195" s="16" t="s">
        <v>15</v>
      </c>
      <c r="C195" s="16">
        <v>22</v>
      </c>
      <c r="D195" s="16" t="s">
        <v>16</v>
      </c>
      <c r="E195" s="16">
        <v>7</v>
      </c>
      <c r="F195" s="16">
        <f t="shared" ref="F195:F258" ca="1" si="25">IF(H195&gt;70,RANDBETWEEN(75,95),IF(H195&gt;50,RANDBETWEEN(40,75),RANDBETWEEN(20,40)))</f>
        <v>90</v>
      </c>
      <c r="G195" s="16">
        <v>4.7</v>
      </c>
      <c r="H195" s="16">
        <v>94</v>
      </c>
      <c r="I195" s="16">
        <v>38</v>
      </c>
      <c r="J195" s="16">
        <v>66</v>
      </c>
      <c r="K195" s="16">
        <v>91</v>
      </c>
      <c r="L195" s="16">
        <v>46</v>
      </c>
      <c r="M195" s="16">
        <v>94</v>
      </c>
      <c r="N195" s="16">
        <v>89</v>
      </c>
      <c r="O195" s="16">
        <f t="shared" ref="O195:O258" si="26">SUM(J195:N195)/500*100</f>
        <v>77.2</v>
      </c>
      <c r="P195" s="16" t="str">
        <f t="shared" ref="P195:P258" si="27">IF(AND(J195&gt;=40,K195&gt;=40,L195&gt;=40,M195&gt;=40,N195&gt;=40),"Pass","Fail")</f>
        <v>Pass</v>
      </c>
      <c r="Q195" s="16" t="str">
        <f t="shared" ref="Q195:Q258" si="28">IF(O195&gt;90,"O",IF(O195&gt;80,"A",IF(O195&gt;60,"B",IF(O195&gt;50,"C","D"))))</f>
        <v>B</v>
      </c>
      <c r="R195" s="16">
        <f t="shared" ref="R195:R258" si="29">COUNTIF(J195:N195,"&lt;40")</f>
        <v>0</v>
      </c>
      <c r="S195" s="16" t="str">
        <f t="shared" ref="S195:S258" si="30">IF(O195&gt;=80,"EXCELLENT",IF(O195&gt;=60,"GOOD",IF(O195&gt;=40,"AVERAGE",IF(O195&lt;40,"POOR"))))</f>
        <v>GOOD</v>
      </c>
      <c r="T195" s="16"/>
      <c r="U195" s="17" t="str">
        <f t="shared" ref="U195:U258" si="31">IF(R195=0,"YES", "NO")</f>
        <v>YES</v>
      </c>
    </row>
    <row r="196" spans="1:21" x14ac:dyDescent="0.3">
      <c r="A196" s="12" t="str">
        <f t="shared" si="24"/>
        <v>ST195</v>
      </c>
      <c r="B196" s="13" t="s">
        <v>15</v>
      </c>
      <c r="C196" s="13">
        <v>21</v>
      </c>
      <c r="D196" s="13" t="s">
        <v>16</v>
      </c>
      <c r="E196" s="13">
        <v>7</v>
      </c>
      <c r="F196" s="13">
        <f t="shared" ca="1" si="25"/>
        <v>76</v>
      </c>
      <c r="G196" s="13">
        <v>4.4000000000000004</v>
      </c>
      <c r="H196" s="13">
        <v>76</v>
      </c>
      <c r="I196" s="13">
        <v>46</v>
      </c>
      <c r="J196" s="13">
        <v>45</v>
      </c>
      <c r="K196" s="13">
        <v>58</v>
      </c>
      <c r="L196" s="13">
        <v>35</v>
      </c>
      <c r="M196" s="13">
        <v>64</v>
      </c>
      <c r="N196" s="13">
        <v>83</v>
      </c>
      <c r="O196" s="13">
        <f t="shared" si="26"/>
        <v>56.999999999999993</v>
      </c>
      <c r="P196" s="13" t="str">
        <f t="shared" si="27"/>
        <v>Fail</v>
      </c>
      <c r="Q196" s="13" t="str">
        <f t="shared" si="28"/>
        <v>C</v>
      </c>
      <c r="R196" s="13">
        <f t="shared" si="29"/>
        <v>1</v>
      </c>
      <c r="S196" s="13" t="str">
        <f t="shared" si="30"/>
        <v>AVERAGE</v>
      </c>
      <c r="T196" s="13"/>
      <c r="U196" s="14" t="str">
        <f t="shared" si="31"/>
        <v>NO</v>
      </c>
    </row>
    <row r="197" spans="1:21" x14ac:dyDescent="0.3">
      <c r="A197" s="15" t="str">
        <f t="shared" si="24"/>
        <v>ST196</v>
      </c>
      <c r="B197" s="16" t="s">
        <v>15</v>
      </c>
      <c r="C197" s="16">
        <v>22</v>
      </c>
      <c r="D197" s="16" t="s">
        <v>17</v>
      </c>
      <c r="E197" s="16">
        <v>7</v>
      </c>
      <c r="F197" s="16">
        <f t="shared" ca="1" si="25"/>
        <v>81</v>
      </c>
      <c r="G197" s="16">
        <v>5.6</v>
      </c>
      <c r="H197" s="16">
        <v>88</v>
      </c>
      <c r="I197" s="16">
        <v>35</v>
      </c>
      <c r="J197" s="16">
        <v>56</v>
      </c>
      <c r="K197" s="16">
        <v>15</v>
      </c>
      <c r="L197" s="16">
        <v>24</v>
      </c>
      <c r="M197" s="16">
        <v>64</v>
      </c>
      <c r="N197" s="16">
        <v>60</v>
      </c>
      <c r="O197" s="16">
        <f t="shared" si="26"/>
        <v>43.8</v>
      </c>
      <c r="P197" s="16" t="str">
        <f t="shared" si="27"/>
        <v>Fail</v>
      </c>
      <c r="Q197" s="16" t="str">
        <f t="shared" si="28"/>
        <v>D</v>
      </c>
      <c r="R197" s="16">
        <f t="shared" si="29"/>
        <v>2</v>
      </c>
      <c r="S197" s="16" t="str">
        <f t="shared" si="30"/>
        <v>AVERAGE</v>
      </c>
      <c r="T197" s="16"/>
      <c r="U197" s="17" t="str">
        <f t="shared" si="31"/>
        <v>NO</v>
      </c>
    </row>
    <row r="198" spans="1:21" x14ac:dyDescent="0.3">
      <c r="A198" s="12" t="str">
        <f t="shared" si="24"/>
        <v>ST197</v>
      </c>
      <c r="B198" s="13" t="s">
        <v>15</v>
      </c>
      <c r="C198" s="13">
        <v>24</v>
      </c>
      <c r="D198" s="13" t="s">
        <v>16</v>
      </c>
      <c r="E198" s="13">
        <v>7</v>
      </c>
      <c r="F198" s="13">
        <f t="shared" ca="1" si="25"/>
        <v>85</v>
      </c>
      <c r="G198" s="13">
        <v>2.2999999999999998</v>
      </c>
      <c r="H198" s="13">
        <v>94</v>
      </c>
      <c r="I198" s="13">
        <v>29</v>
      </c>
      <c r="J198" s="13">
        <v>68</v>
      </c>
      <c r="K198" s="13">
        <v>10</v>
      </c>
      <c r="L198" s="13">
        <v>80</v>
      </c>
      <c r="M198" s="13">
        <v>81</v>
      </c>
      <c r="N198" s="13">
        <v>96</v>
      </c>
      <c r="O198" s="13">
        <f t="shared" si="26"/>
        <v>67</v>
      </c>
      <c r="P198" s="13" t="str">
        <f t="shared" si="27"/>
        <v>Fail</v>
      </c>
      <c r="Q198" s="13" t="str">
        <f t="shared" si="28"/>
        <v>B</v>
      </c>
      <c r="R198" s="13">
        <f t="shared" si="29"/>
        <v>1</v>
      </c>
      <c r="S198" s="13" t="str">
        <f t="shared" si="30"/>
        <v>GOOD</v>
      </c>
      <c r="T198" s="13"/>
      <c r="U198" s="14" t="str">
        <f t="shared" si="31"/>
        <v>NO</v>
      </c>
    </row>
    <row r="199" spans="1:21" x14ac:dyDescent="0.3">
      <c r="A199" s="15" t="str">
        <f t="shared" si="24"/>
        <v>ST198</v>
      </c>
      <c r="B199" s="16" t="s">
        <v>13</v>
      </c>
      <c r="C199" s="16">
        <v>24</v>
      </c>
      <c r="D199" s="16" t="s">
        <v>17</v>
      </c>
      <c r="E199" s="16">
        <v>8</v>
      </c>
      <c r="F199" s="16">
        <f t="shared" ca="1" si="25"/>
        <v>73</v>
      </c>
      <c r="G199" s="16">
        <v>4.2</v>
      </c>
      <c r="H199" s="16">
        <v>70</v>
      </c>
      <c r="I199" s="16">
        <v>45</v>
      </c>
      <c r="J199" s="16">
        <v>33</v>
      </c>
      <c r="K199" s="16">
        <v>70</v>
      </c>
      <c r="L199" s="16">
        <v>42</v>
      </c>
      <c r="M199" s="16">
        <v>84</v>
      </c>
      <c r="N199" s="16">
        <v>48</v>
      </c>
      <c r="O199" s="16">
        <f t="shared" si="26"/>
        <v>55.400000000000006</v>
      </c>
      <c r="P199" s="16" t="str">
        <f t="shared" si="27"/>
        <v>Fail</v>
      </c>
      <c r="Q199" s="16" t="str">
        <f t="shared" si="28"/>
        <v>C</v>
      </c>
      <c r="R199" s="16">
        <f t="shared" si="29"/>
        <v>1</v>
      </c>
      <c r="S199" s="16" t="str">
        <f t="shared" si="30"/>
        <v>AVERAGE</v>
      </c>
      <c r="T199" s="16"/>
      <c r="U199" s="17" t="str">
        <f t="shared" si="31"/>
        <v>NO</v>
      </c>
    </row>
    <row r="200" spans="1:21" x14ac:dyDescent="0.3">
      <c r="A200" s="12" t="str">
        <f t="shared" si="24"/>
        <v>ST199</v>
      </c>
      <c r="B200" s="13" t="s">
        <v>15</v>
      </c>
      <c r="C200" s="13">
        <v>21</v>
      </c>
      <c r="D200" s="13" t="s">
        <v>17</v>
      </c>
      <c r="E200" s="13">
        <v>8</v>
      </c>
      <c r="F200" s="13">
        <f t="shared" ca="1" si="25"/>
        <v>75</v>
      </c>
      <c r="G200" s="13">
        <v>5.3</v>
      </c>
      <c r="H200" s="13">
        <v>52</v>
      </c>
      <c r="I200" s="13">
        <v>23</v>
      </c>
      <c r="J200" s="13">
        <v>21</v>
      </c>
      <c r="K200" s="13">
        <v>35</v>
      </c>
      <c r="L200" s="13">
        <v>59</v>
      </c>
      <c r="M200" s="13">
        <v>68</v>
      </c>
      <c r="N200" s="13">
        <v>49</v>
      </c>
      <c r="O200" s="13">
        <f t="shared" si="26"/>
        <v>46.400000000000006</v>
      </c>
      <c r="P200" s="13" t="str">
        <f t="shared" si="27"/>
        <v>Fail</v>
      </c>
      <c r="Q200" s="13" t="str">
        <f t="shared" si="28"/>
        <v>D</v>
      </c>
      <c r="R200" s="13">
        <f t="shared" si="29"/>
        <v>2</v>
      </c>
      <c r="S200" s="13" t="str">
        <f t="shared" si="30"/>
        <v>AVERAGE</v>
      </c>
      <c r="T200" s="13"/>
      <c r="U200" s="14" t="str">
        <f t="shared" si="31"/>
        <v>NO</v>
      </c>
    </row>
    <row r="201" spans="1:21" x14ac:dyDescent="0.3">
      <c r="A201" s="15" t="str">
        <f t="shared" si="24"/>
        <v>ST200</v>
      </c>
      <c r="B201" s="16" t="s">
        <v>15</v>
      </c>
      <c r="C201" s="16">
        <v>21</v>
      </c>
      <c r="D201" s="16" t="s">
        <v>16</v>
      </c>
      <c r="E201" s="16">
        <v>8</v>
      </c>
      <c r="F201" s="16">
        <f t="shared" ca="1" si="25"/>
        <v>76</v>
      </c>
      <c r="G201" s="16">
        <v>3.8</v>
      </c>
      <c r="H201" s="16">
        <v>85</v>
      </c>
      <c r="I201" s="16">
        <v>49</v>
      </c>
      <c r="J201" s="16">
        <v>53</v>
      </c>
      <c r="K201" s="16">
        <v>62</v>
      </c>
      <c r="L201" s="16">
        <v>80</v>
      </c>
      <c r="M201" s="16">
        <v>96</v>
      </c>
      <c r="N201" s="16">
        <v>38</v>
      </c>
      <c r="O201" s="16">
        <f t="shared" si="26"/>
        <v>65.8</v>
      </c>
      <c r="P201" s="16" t="str">
        <f t="shared" si="27"/>
        <v>Fail</v>
      </c>
      <c r="Q201" s="16" t="str">
        <f t="shared" si="28"/>
        <v>B</v>
      </c>
      <c r="R201" s="16">
        <f t="shared" si="29"/>
        <v>1</v>
      </c>
      <c r="S201" s="16" t="str">
        <f t="shared" si="30"/>
        <v>GOOD</v>
      </c>
      <c r="T201" s="16"/>
      <c r="U201" s="17" t="str">
        <f t="shared" si="31"/>
        <v>NO</v>
      </c>
    </row>
    <row r="202" spans="1:21" x14ac:dyDescent="0.3">
      <c r="A202" s="12" t="str">
        <f t="shared" si="24"/>
        <v>ST201</v>
      </c>
      <c r="B202" s="13" t="s">
        <v>13</v>
      </c>
      <c r="C202" s="13">
        <v>21</v>
      </c>
      <c r="D202" s="13" t="s">
        <v>14</v>
      </c>
      <c r="E202" s="13">
        <v>7</v>
      </c>
      <c r="F202" s="13">
        <f t="shared" ca="1" si="25"/>
        <v>78</v>
      </c>
      <c r="G202" s="13">
        <v>3.3</v>
      </c>
      <c r="H202" s="13">
        <v>71</v>
      </c>
      <c r="I202" s="13">
        <v>18</v>
      </c>
      <c r="J202" s="13">
        <v>55</v>
      </c>
      <c r="K202" s="13">
        <v>11</v>
      </c>
      <c r="L202" s="13">
        <v>49</v>
      </c>
      <c r="M202" s="13">
        <v>85</v>
      </c>
      <c r="N202" s="13">
        <v>73</v>
      </c>
      <c r="O202" s="13">
        <f t="shared" si="26"/>
        <v>54.6</v>
      </c>
      <c r="P202" s="13" t="str">
        <f t="shared" si="27"/>
        <v>Fail</v>
      </c>
      <c r="Q202" s="13" t="str">
        <f t="shared" si="28"/>
        <v>C</v>
      </c>
      <c r="R202" s="13">
        <f t="shared" si="29"/>
        <v>1</v>
      </c>
      <c r="S202" s="13" t="str">
        <f t="shared" si="30"/>
        <v>AVERAGE</v>
      </c>
      <c r="T202" s="13"/>
      <c r="U202" s="14" t="str">
        <f t="shared" si="31"/>
        <v>NO</v>
      </c>
    </row>
    <row r="203" spans="1:21" x14ac:dyDescent="0.3">
      <c r="A203" s="15" t="str">
        <f t="shared" si="24"/>
        <v>ST202</v>
      </c>
      <c r="B203" s="16" t="s">
        <v>15</v>
      </c>
      <c r="C203" s="16">
        <v>21</v>
      </c>
      <c r="D203" s="16" t="s">
        <v>17</v>
      </c>
      <c r="E203" s="16">
        <v>7</v>
      </c>
      <c r="F203" s="16">
        <f t="shared" ca="1" si="25"/>
        <v>60</v>
      </c>
      <c r="G203" s="16">
        <v>5.8</v>
      </c>
      <c r="H203" s="16">
        <v>66</v>
      </c>
      <c r="I203" s="16">
        <v>23</v>
      </c>
      <c r="J203" s="16">
        <v>57</v>
      </c>
      <c r="K203" s="16">
        <v>91</v>
      </c>
      <c r="L203" s="16">
        <v>92</v>
      </c>
      <c r="M203" s="16">
        <v>91</v>
      </c>
      <c r="N203" s="16">
        <v>100</v>
      </c>
      <c r="O203" s="16">
        <f t="shared" si="26"/>
        <v>86.2</v>
      </c>
      <c r="P203" s="16" t="str">
        <f t="shared" si="27"/>
        <v>Pass</v>
      </c>
      <c r="Q203" s="16" t="str">
        <f t="shared" si="28"/>
        <v>A</v>
      </c>
      <c r="R203" s="16">
        <f t="shared" si="29"/>
        <v>0</v>
      </c>
      <c r="S203" s="16" t="str">
        <f t="shared" si="30"/>
        <v>EXCELLENT</v>
      </c>
      <c r="T203" s="16"/>
      <c r="U203" s="17" t="str">
        <f t="shared" si="31"/>
        <v>YES</v>
      </c>
    </row>
    <row r="204" spans="1:21" x14ac:dyDescent="0.3">
      <c r="A204" s="12" t="str">
        <f t="shared" si="24"/>
        <v>ST203</v>
      </c>
      <c r="B204" s="13" t="s">
        <v>15</v>
      </c>
      <c r="C204" s="13">
        <v>22</v>
      </c>
      <c r="D204" s="13" t="s">
        <v>16</v>
      </c>
      <c r="E204" s="13">
        <v>7</v>
      </c>
      <c r="F204" s="13">
        <f t="shared" ca="1" si="25"/>
        <v>91</v>
      </c>
      <c r="G204" s="13">
        <v>2.6</v>
      </c>
      <c r="H204" s="13">
        <v>86</v>
      </c>
      <c r="I204" s="13">
        <v>47</v>
      </c>
      <c r="J204" s="13">
        <v>46</v>
      </c>
      <c r="K204" s="13">
        <v>94</v>
      </c>
      <c r="L204" s="13">
        <v>56</v>
      </c>
      <c r="M204" s="13">
        <v>87</v>
      </c>
      <c r="N204" s="13">
        <v>56</v>
      </c>
      <c r="O204" s="13">
        <f t="shared" si="26"/>
        <v>67.800000000000011</v>
      </c>
      <c r="P204" s="13" t="str">
        <f t="shared" si="27"/>
        <v>Pass</v>
      </c>
      <c r="Q204" s="13" t="str">
        <f t="shared" si="28"/>
        <v>B</v>
      </c>
      <c r="R204" s="13">
        <f t="shared" si="29"/>
        <v>0</v>
      </c>
      <c r="S204" s="13" t="str">
        <f t="shared" si="30"/>
        <v>GOOD</v>
      </c>
      <c r="T204" s="13"/>
      <c r="U204" s="14" t="str">
        <f t="shared" si="31"/>
        <v>YES</v>
      </c>
    </row>
    <row r="205" spans="1:21" x14ac:dyDescent="0.3">
      <c r="A205" s="15" t="str">
        <f t="shared" si="24"/>
        <v>ST204</v>
      </c>
      <c r="B205" s="16" t="s">
        <v>13</v>
      </c>
      <c r="C205" s="16">
        <v>22</v>
      </c>
      <c r="D205" s="16" t="s">
        <v>16</v>
      </c>
      <c r="E205" s="16">
        <v>8</v>
      </c>
      <c r="F205" s="16">
        <f t="shared" ca="1" si="25"/>
        <v>68</v>
      </c>
      <c r="G205" s="16">
        <v>4.4000000000000004</v>
      </c>
      <c r="H205" s="16">
        <v>70</v>
      </c>
      <c r="I205" s="16">
        <v>30</v>
      </c>
      <c r="J205" s="16">
        <v>48</v>
      </c>
      <c r="K205" s="16">
        <v>75</v>
      </c>
      <c r="L205" s="16">
        <v>78</v>
      </c>
      <c r="M205" s="16">
        <v>71</v>
      </c>
      <c r="N205" s="16">
        <v>96</v>
      </c>
      <c r="O205" s="16">
        <f t="shared" si="26"/>
        <v>73.599999999999994</v>
      </c>
      <c r="P205" s="16" t="str">
        <f t="shared" si="27"/>
        <v>Pass</v>
      </c>
      <c r="Q205" s="16" t="str">
        <f t="shared" si="28"/>
        <v>B</v>
      </c>
      <c r="R205" s="16">
        <f t="shared" si="29"/>
        <v>0</v>
      </c>
      <c r="S205" s="16" t="str">
        <f t="shared" si="30"/>
        <v>GOOD</v>
      </c>
      <c r="T205" s="16"/>
      <c r="U205" s="17" t="str">
        <f t="shared" si="31"/>
        <v>YES</v>
      </c>
    </row>
    <row r="206" spans="1:21" x14ac:dyDescent="0.3">
      <c r="A206" s="12" t="str">
        <f t="shared" si="24"/>
        <v>ST205</v>
      </c>
      <c r="B206" s="13" t="s">
        <v>15</v>
      </c>
      <c r="C206" s="13">
        <v>22</v>
      </c>
      <c r="D206" s="13" t="s">
        <v>17</v>
      </c>
      <c r="E206" s="13">
        <v>7</v>
      </c>
      <c r="F206" s="13">
        <f t="shared" ca="1" si="25"/>
        <v>86</v>
      </c>
      <c r="G206" s="13">
        <v>3.6</v>
      </c>
      <c r="H206" s="13">
        <v>81</v>
      </c>
      <c r="I206" s="13">
        <v>22</v>
      </c>
      <c r="J206" s="13">
        <v>36</v>
      </c>
      <c r="K206" s="13">
        <v>65</v>
      </c>
      <c r="L206" s="13">
        <v>64</v>
      </c>
      <c r="M206" s="13">
        <v>94</v>
      </c>
      <c r="N206" s="13">
        <v>55</v>
      </c>
      <c r="O206" s="13">
        <f t="shared" si="26"/>
        <v>62.8</v>
      </c>
      <c r="P206" s="13" t="str">
        <f t="shared" si="27"/>
        <v>Fail</v>
      </c>
      <c r="Q206" s="13" t="str">
        <f t="shared" si="28"/>
        <v>B</v>
      </c>
      <c r="R206" s="13">
        <f t="shared" si="29"/>
        <v>1</v>
      </c>
      <c r="S206" s="13" t="str">
        <f t="shared" si="30"/>
        <v>GOOD</v>
      </c>
      <c r="T206" s="13"/>
      <c r="U206" s="14" t="str">
        <f t="shared" si="31"/>
        <v>NO</v>
      </c>
    </row>
    <row r="207" spans="1:21" x14ac:dyDescent="0.3">
      <c r="A207" s="15" t="str">
        <f t="shared" si="24"/>
        <v>ST206</v>
      </c>
      <c r="B207" s="16" t="s">
        <v>13</v>
      </c>
      <c r="C207" s="16">
        <v>24</v>
      </c>
      <c r="D207" s="16" t="s">
        <v>16</v>
      </c>
      <c r="E207" s="16">
        <v>7</v>
      </c>
      <c r="F207" s="16">
        <f t="shared" ca="1" si="25"/>
        <v>40</v>
      </c>
      <c r="G207" s="16">
        <v>4.4000000000000004</v>
      </c>
      <c r="H207" s="16">
        <v>50</v>
      </c>
      <c r="I207" s="16">
        <v>39</v>
      </c>
      <c r="J207" s="16">
        <v>65</v>
      </c>
      <c r="K207" s="16">
        <v>67</v>
      </c>
      <c r="L207" s="16">
        <v>41</v>
      </c>
      <c r="M207" s="16">
        <v>98</v>
      </c>
      <c r="N207" s="16">
        <v>31</v>
      </c>
      <c r="O207" s="16">
        <f t="shared" si="26"/>
        <v>60.4</v>
      </c>
      <c r="P207" s="16" t="str">
        <f t="shared" si="27"/>
        <v>Fail</v>
      </c>
      <c r="Q207" s="16" t="str">
        <f t="shared" si="28"/>
        <v>B</v>
      </c>
      <c r="R207" s="16">
        <f t="shared" si="29"/>
        <v>1</v>
      </c>
      <c r="S207" s="16" t="str">
        <f t="shared" si="30"/>
        <v>GOOD</v>
      </c>
      <c r="T207" s="16"/>
      <c r="U207" s="17" t="str">
        <f t="shared" si="31"/>
        <v>NO</v>
      </c>
    </row>
    <row r="208" spans="1:21" x14ac:dyDescent="0.3">
      <c r="A208" s="12" t="str">
        <f t="shared" si="24"/>
        <v>ST207</v>
      </c>
      <c r="B208" s="13" t="s">
        <v>15</v>
      </c>
      <c r="C208" s="13">
        <v>23</v>
      </c>
      <c r="D208" s="13" t="s">
        <v>16</v>
      </c>
      <c r="E208" s="13">
        <v>7</v>
      </c>
      <c r="F208" s="13">
        <f t="shared" ca="1" si="25"/>
        <v>78</v>
      </c>
      <c r="G208" s="13">
        <v>2.1</v>
      </c>
      <c r="H208" s="13">
        <v>89</v>
      </c>
      <c r="I208" s="13">
        <v>36</v>
      </c>
      <c r="J208" s="13">
        <v>45</v>
      </c>
      <c r="K208" s="13">
        <v>24</v>
      </c>
      <c r="L208" s="13">
        <v>30</v>
      </c>
      <c r="M208" s="13">
        <v>65</v>
      </c>
      <c r="N208" s="13">
        <v>58</v>
      </c>
      <c r="O208" s="13">
        <f t="shared" si="26"/>
        <v>44.4</v>
      </c>
      <c r="P208" s="13" t="str">
        <f t="shared" si="27"/>
        <v>Fail</v>
      </c>
      <c r="Q208" s="13" t="str">
        <f t="shared" si="28"/>
        <v>D</v>
      </c>
      <c r="R208" s="13">
        <f t="shared" si="29"/>
        <v>2</v>
      </c>
      <c r="S208" s="13" t="str">
        <f t="shared" si="30"/>
        <v>AVERAGE</v>
      </c>
      <c r="T208" s="13"/>
      <c r="U208" s="14" t="str">
        <f t="shared" si="31"/>
        <v>NO</v>
      </c>
    </row>
    <row r="209" spans="1:21" x14ac:dyDescent="0.3">
      <c r="A209" s="15" t="str">
        <f t="shared" si="24"/>
        <v>ST208</v>
      </c>
      <c r="B209" s="16" t="s">
        <v>15</v>
      </c>
      <c r="C209" s="16">
        <v>22</v>
      </c>
      <c r="D209" s="16" t="s">
        <v>14</v>
      </c>
      <c r="E209" s="16">
        <v>8</v>
      </c>
      <c r="F209" s="16">
        <f t="shared" ca="1" si="25"/>
        <v>82</v>
      </c>
      <c r="G209" s="16">
        <v>5.2</v>
      </c>
      <c r="H209" s="16">
        <v>94</v>
      </c>
      <c r="I209" s="16">
        <v>47</v>
      </c>
      <c r="J209" s="16">
        <v>43</v>
      </c>
      <c r="K209" s="16">
        <v>82</v>
      </c>
      <c r="L209" s="16">
        <v>63</v>
      </c>
      <c r="M209" s="16">
        <v>78</v>
      </c>
      <c r="N209" s="16">
        <v>74</v>
      </c>
      <c r="O209" s="16">
        <f t="shared" si="26"/>
        <v>68</v>
      </c>
      <c r="P209" s="16" t="str">
        <f t="shared" si="27"/>
        <v>Pass</v>
      </c>
      <c r="Q209" s="16" t="str">
        <f t="shared" si="28"/>
        <v>B</v>
      </c>
      <c r="R209" s="16">
        <f t="shared" si="29"/>
        <v>0</v>
      </c>
      <c r="S209" s="16" t="str">
        <f t="shared" si="30"/>
        <v>GOOD</v>
      </c>
      <c r="T209" s="16"/>
      <c r="U209" s="17" t="str">
        <f t="shared" si="31"/>
        <v>YES</v>
      </c>
    </row>
    <row r="210" spans="1:21" x14ac:dyDescent="0.3">
      <c r="A210" s="12" t="str">
        <f t="shared" si="24"/>
        <v>ST209</v>
      </c>
      <c r="B210" s="13" t="s">
        <v>13</v>
      </c>
      <c r="C210" s="13">
        <v>22</v>
      </c>
      <c r="D210" s="13" t="s">
        <v>17</v>
      </c>
      <c r="E210" s="13">
        <v>7</v>
      </c>
      <c r="F210" s="13">
        <f t="shared" ca="1" si="25"/>
        <v>91</v>
      </c>
      <c r="G210" s="13">
        <v>5.3</v>
      </c>
      <c r="H210" s="13">
        <v>98</v>
      </c>
      <c r="I210" s="13">
        <v>42</v>
      </c>
      <c r="J210" s="13">
        <v>19</v>
      </c>
      <c r="K210" s="13">
        <v>73</v>
      </c>
      <c r="L210" s="13">
        <v>70</v>
      </c>
      <c r="M210" s="13">
        <v>58</v>
      </c>
      <c r="N210" s="13">
        <v>96</v>
      </c>
      <c r="O210" s="13">
        <f t="shared" si="26"/>
        <v>63.2</v>
      </c>
      <c r="P210" s="13" t="str">
        <f t="shared" si="27"/>
        <v>Fail</v>
      </c>
      <c r="Q210" s="13" t="str">
        <f t="shared" si="28"/>
        <v>B</v>
      </c>
      <c r="R210" s="13">
        <f t="shared" si="29"/>
        <v>1</v>
      </c>
      <c r="S210" s="13" t="str">
        <f t="shared" si="30"/>
        <v>GOOD</v>
      </c>
      <c r="T210" s="13"/>
      <c r="U210" s="14" t="str">
        <f t="shared" si="31"/>
        <v>NO</v>
      </c>
    </row>
    <row r="211" spans="1:21" x14ac:dyDescent="0.3">
      <c r="A211" s="15" t="str">
        <f t="shared" si="24"/>
        <v>ST210</v>
      </c>
      <c r="B211" s="16" t="s">
        <v>13</v>
      </c>
      <c r="C211" s="16">
        <v>23</v>
      </c>
      <c r="D211" s="16" t="s">
        <v>17</v>
      </c>
      <c r="E211" s="16">
        <v>7</v>
      </c>
      <c r="F211" s="16">
        <f t="shared" ca="1" si="25"/>
        <v>83</v>
      </c>
      <c r="G211" s="16">
        <v>2.2000000000000002</v>
      </c>
      <c r="H211" s="16">
        <v>92</v>
      </c>
      <c r="I211" s="16">
        <v>50</v>
      </c>
      <c r="J211" s="16">
        <v>49</v>
      </c>
      <c r="K211" s="16">
        <v>74</v>
      </c>
      <c r="L211" s="16">
        <v>47</v>
      </c>
      <c r="M211" s="16">
        <v>82</v>
      </c>
      <c r="N211" s="16">
        <v>84</v>
      </c>
      <c r="O211" s="16">
        <f t="shared" si="26"/>
        <v>67.2</v>
      </c>
      <c r="P211" s="16" t="str">
        <f t="shared" si="27"/>
        <v>Pass</v>
      </c>
      <c r="Q211" s="16" t="str">
        <f t="shared" si="28"/>
        <v>B</v>
      </c>
      <c r="R211" s="16">
        <f t="shared" si="29"/>
        <v>0</v>
      </c>
      <c r="S211" s="16" t="str">
        <f t="shared" si="30"/>
        <v>GOOD</v>
      </c>
      <c r="T211" s="16"/>
      <c r="U211" s="17" t="str">
        <f t="shared" si="31"/>
        <v>YES</v>
      </c>
    </row>
    <row r="212" spans="1:21" x14ac:dyDescent="0.3">
      <c r="A212" s="12" t="str">
        <f t="shared" si="24"/>
        <v>ST211</v>
      </c>
      <c r="B212" s="13" t="s">
        <v>15</v>
      </c>
      <c r="C212" s="13">
        <v>22</v>
      </c>
      <c r="D212" s="13" t="s">
        <v>16</v>
      </c>
      <c r="E212" s="13">
        <v>7</v>
      </c>
      <c r="F212" s="13">
        <f t="shared" ca="1" si="25"/>
        <v>80</v>
      </c>
      <c r="G212" s="13">
        <v>5.8</v>
      </c>
      <c r="H212" s="13">
        <v>89</v>
      </c>
      <c r="I212" s="13">
        <v>20</v>
      </c>
      <c r="J212" s="13">
        <v>62</v>
      </c>
      <c r="K212" s="13">
        <v>22</v>
      </c>
      <c r="L212" s="13">
        <v>67</v>
      </c>
      <c r="M212" s="13">
        <v>50</v>
      </c>
      <c r="N212" s="13">
        <v>77</v>
      </c>
      <c r="O212" s="13">
        <f t="shared" si="26"/>
        <v>55.600000000000009</v>
      </c>
      <c r="P212" s="13" t="str">
        <f t="shared" si="27"/>
        <v>Fail</v>
      </c>
      <c r="Q212" s="13" t="str">
        <f t="shared" si="28"/>
        <v>C</v>
      </c>
      <c r="R212" s="13">
        <f t="shared" si="29"/>
        <v>1</v>
      </c>
      <c r="S212" s="13" t="str">
        <f t="shared" si="30"/>
        <v>AVERAGE</v>
      </c>
      <c r="T212" s="13"/>
      <c r="U212" s="14" t="str">
        <f t="shared" si="31"/>
        <v>NO</v>
      </c>
    </row>
    <row r="213" spans="1:21" x14ac:dyDescent="0.3">
      <c r="A213" s="15" t="str">
        <f t="shared" si="24"/>
        <v>ST212</v>
      </c>
      <c r="B213" s="16" t="s">
        <v>15</v>
      </c>
      <c r="C213" s="16">
        <v>24</v>
      </c>
      <c r="D213" s="16" t="s">
        <v>18</v>
      </c>
      <c r="E213" s="16">
        <v>8</v>
      </c>
      <c r="F213" s="16">
        <f t="shared" ca="1" si="25"/>
        <v>77</v>
      </c>
      <c r="G213" s="16">
        <v>5</v>
      </c>
      <c r="H213" s="16">
        <v>99</v>
      </c>
      <c r="I213" s="16">
        <v>21</v>
      </c>
      <c r="J213" s="16">
        <v>67</v>
      </c>
      <c r="K213" s="16">
        <v>69</v>
      </c>
      <c r="L213" s="16">
        <v>35</v>
      </c>
      <c r="M213" s="16">
        <v>69</v>
      </c>
      <c r="N213" s="16">
        <v>45</v>
      </c>
      <c r="O213" s="16">
        <f t="shared" si="26"/>
        <v>56.999999999999993</v>
      </c>
      <c r="P213" s="16" t="str">
        <f t="shared" si="27"/>
        <v>Fail</v>
      </c>
      <c r="Q213" s="16" t="str">
        <f t="shared" si="28"/>
        <v>C</v>
      </c>
      <c r="R213" s="16">
        <f t="shared" si="29"/>
        <v>1</v>
      </c>
      <c r="S213" s="16" t="str">
        <f t="shared" si="30"/>
        <v>AVERAGE</v>
      </c>
      <c r="T213" s="16"/>
      <c r="U213" s="17" t="str">
        <f t="shared" si="31"/>
        <v>NO</v>
      </c>
    </row>
    <row r="214" spans="1:21" x14ac:dyDescent="0.3">
      <c r="A214" s="12" t="str">
        <f t="shared" si="24"/>
        <v>ST213</v>
      </c>
      <c r="B214" s="13" t="s">
        <v>15</v>
      </c>
      <c r="C214" s="13">
        <v>23</v>
      </c>
      <c r="D214" s="13" t="s">
        <v>18</v>
      </c>
      <c r="E214" s="13">
        <v>7</v>
      </c>
      <c r="F214" s="13">
        <f t="shared" ca="1" si="25"/>
        <v>48</v>
      </c>
      <c r="G214" s="13">
        <v>1.7</v>
      </c>
      <c r="H214" s="13">
        <v>56</v>
      </c>
      <c r="I214" s="13">
        <v>24</v>
      </c>
      <c r="J214" s="13">
        <v>72</v>
      </c>
      <c r="K214" s="13">
        <v>12</v>
      </c>
      <c r="L214" s="13">
        <v>67</v>
      </c>
      <c r="M214" s="13">
        <v>65</v>
      </c>
      <c r="N214" s="13">
        <v>59</v>
      </c>
      <c r="O214" s="13">
        <f t="shared" si="26"/>
        <v>55.000000000000007</v>
      </c>
      <c r="P214" s="13" t="str">
        <f t="shared" si="27"/>
        <v>Fail</v>
      </c>
      <c r="Q214" s="13" t="str">
        <f t="shared" si="28"/>
        <v>C</v>
      </c>
      <c r="R214" s="13">
        <f t="shared" si="29"/>
        <v>1</v>
      </c>
      <c r="S214" s="13" t="str">
        <f t="shared" si="30"/>
        <v>AVERAGE</v>
      </c>
      <c r="T214" s="13"/>
      <c r="U214" s="14" t="str">
        <f t="shared" si="31"/>
        <v>NO</v>
      </c>
    </row>
    <row r="215" spans="1:21" x14ac:dyDescent="0.3">
      <c r="A215" s="15" t="str">
        <f t="shared" si="24"/>
        <v>ST214</v>
      </c>
      <c r="B215" s="16" t="s">
        <v>15</v>
      </c>
      <c r="C215" s="16">
        <v>24</v>
      </c>
      <c r="D215" s="16" t="s">
        <v>17</v>
      </c>
      <c r="E215" s="16">
        <v>7</v>
      </c>
      <c r="F215" s="16">
        <f t="shared" ca="1" si="25"/>
        <v>90</v>
      </c>
      <c r="G215" s="16">
        <v>1.4</v>
      </c>
      <c r="H215" s="16">
        <v>92</v>
      </c>
      <c r="I215" s="16">
        <v>48</v>
      </c>
      <c r="J215" s="16">
        <v>58</v>
      </c>
      <c r="K215" s="16">
        <v>80</v>
      </c>
      <c r="L215" s="16">
        <v>93</v>
      </c>
      <c r="M215" s="16">
        <v>77</v>
      </c>
      <c r="N215" s="16">
        <v>57</v>
      </c>
      <c r="O215" s="16">
        <f t="shared" si="26"/>
        <v>73</v>
      </c>
      <c r="P215" s="16" t="str">
        <f t="shared" si="27"/>
        <v>Pass</v>
      </c>
      <c r="Q215" s="16" t="str">
        <f t="shared" si="28"/>
        <v>B</v>
      </c>
      <c r="R215" s="16">
        <f t="shared" si="29"/>
        <v>0</v>
      </c>
      <c r="S215" s="16" t="str">
        <f t="shared" si="30"/>
        <v>GOOD</v>
      </c>
      <c r="T215" s="16"/>
      <c r="U215" s="17" t="str">
        <f t="shared" si="31"/>
        <v>YES</v>
      </c>
    </row>
    <row r="216" spans="1:21" x14ac:dyDescent="0.3">
      <c r="A216" s="12" t="str">
        <f t="shared" si="24"/>
        <v>ST215</v>
      </c>
      <c r="B216" s="13" t="s">
        <v>13</v>
      </c>
      <c r="C216" s="13">
        <v>22</v>
      </c>
      <c r="D216" s="13" t="s">
        <v>17</v>
      </c>
      <c r="E216" s="13">
        <v>8</v>
      </c>
      <c r="F216" s="13">
        <f t="shared" ca="1" si="25"/>
        <v>40</v>
      </c>
      <c r="G216" s="13">
        <v>3.2</v>
      </c>
      <c r="H216" s="13">
        <v>54</v>
      </c>
      <c r="I216" s="13">
        <v>44</v>
      </c>
      <c r="J216" s="13">
        <v>75</v>
      </c>
      <c r="K216" s="13">
        <v>40</v>
      </c>
      <c r="L216" s="13">
        <v>41</v>
      </c>
      <c r="M216" s="13">
        <v>72</v>
      </c>
      <c r="N216" s="13">
        <v>96</v>
      </c>
      <c r="O216" s="13">
        <f t="shared" si="26"/>
        <v>64.8</v>
      </c>
      <c r="P216" s="13" t="str">
        <f t="shared" si="27"/>
        <v>Pass</v>
      </c>
      <c r="Q216" s="13" t="str">
        <f t="shared" si="28"/>
        <v>B</v>
      </c>
      <c r="R216" s="13">
        <f t="shared" si="29"/>
        <v>0</v>
      </c>
      <c r="S216" s="13" t="str">
        <f t="shared" si="30"/>
        <v>GOOD</v>
      </c>
      <c r="T216" s="13"/>
      <c r="U216" s="14" t="str">
        <f t="shared" si="31"/>
        <v>YES</v>
      </c>
    </row>
    <row r="217" spans="1:21" x14ac:dyDescent="0.3">
      <c r="A217" s="15" t="str">
        <f t="shared" si="24"/>
        <v>ST216</v>
      </c>
      <c r="B217" s="16" t="s">
        <v>13</v>
      </c>
      <c r="C217" s="16">
        <v>22</v>
      </c>
      <c r="D217" s="16" t="s">
        <v>16</v>
      </c>
      <c r="E217" s="16">
        <v>7</v>
      </c>
      <c r="F217" s="16">
        <f t="shared" ca="1" si="25"/>
        <v>71</v>
      </c>
      <c r="G217" s="16">
        <v>5.5</v>
      </c>
      <c r="H217" s="16">
        <v>52</v>
      </c>
      <c r="I217" s="16">
        <v>23</v>
      </c>
      <c r="J217" s="16">
        <v>65</v>
      </c>
      <c r="K217" s="16">
        <v>59</v>
      </c>
      <c r="L217" s="16">
        <v>71</v>
      </c>
      <c r="M217" s="16">
        <v>65</v>
      </c>
      <c r="N217" s="16">
        <v>55</v>
      </c>
      <c r="O217" s="16">
        <f t="shared" si="26"/>
        <v>63</v>
      </c>
      <c r="P217" s="16" t="str">
        <f t="shared" si="27"/>
        <v>Pass</v>
      </c>
      <c r="Q217" s="16" t="str">
        <f t="shared" si="28"/>
        <v>B</v>
      </c>
      <c r="R217" s="16">
        <f t="shared" si="29"/>
        <v>0</v>
      </c>
      <c r="S217" s="16" t="str">
        <f t="shared" si="30"/>
        <v>GOOD</v>
      </c>
      <c r="T217" s="16"/>
      <c r="U217" s="17" t="str">
        <f t="shared" si="31"/>
        <v>YES</v>
      </c>
    </row>
    <row r="218" spans="1:21" x14ac:dyDescent="0.3">
      <c r="A218" s="12" t="str">
        <f t="shared" si="24"/>
        <v>ST217</v>
      </c>
      <c r="B218" s="13" t="s">
        <v>15</v>
      </c>
      <c r="C218" s="13">
        <v>22</v>
      </c>
      <c r="D218" s="13" t="s">
        <v>14</v>
      </c>
      <c r="E218" s="13">
        <v>8</v>
      </c>
      <c r="F218" s="13">
        <f t="shared" ca="1" si="25"/>
        <v>42</v>
      </c>
      <c r="G218" s="13">
        <v>4.7</v>
      </c>
      <c r="H218" s="13">
        <v>54</v>
      </c>
      <c r="I218" s="13">
        <v>30</v>
      </c>
      <c r="J218" s="13">
        <v>38</v>
      </c>
      <c r="K218" s="13">
        <v>80</v>
      </c>
      <c r="L218" s="13">
        <v>66</v>
      </c>
      <c r="M218" s="13">
        <v>97</v>
      </c>
      <c r="N218" s="13">
        <v>67</v>
      </c>
      <c r="O218" s="13">
        <f t="shared" si="26"/>
        <v>69.599999999999994</v>
      </c>
      <c r="P218" s="13" t="str">
        <f t="shared" si="27"/>
        <v>Fail</v>
      </c>
      <c r="Q218" s="13" t="str">
        <f t="shared" si="28"/>
        <v>B</v>
      </c>
      <c r="R218" s="13">
        <f t="shared" si="29"/>
        <v>1</v>
      </c>
      <c r="S218" s="13" t="str">
        <f t="shared" si="30"/>
        <v>GOOD</v>
      </c>
      <c r="T218" s="13"/>
      <c r="U218" s="14" t="str">
        <f t="shared" si="31"/>
        <v>NO</v>
      </c>
    </row>
    <row r="219" spans="1:21" x14ac:dyDescent="0.3">
      <c r="A219" s="15" t="str">
        <f t="shared" si="24"/>
        <v>ST218</v>
      </c>
      <c r="B219" s="16" t="s">
        <v>15</v>
      </c>
      <c r="C219" s="16">
        <v>23</v>
      </c>
      <c r="D219" s="16" t="s">
        <v>16</v>
      </c>
      <c r="E219" s="16">
        <v>7</v>
      </c>
      <c r="F219" s="16">
        <f t="shared" ca="1" si="25"/>
        <v>54</v>
      </c>
      <c r="G219" s="16">
        <v>3.4</v>
      </c>
      <c r="H219" s="16">
        <v>64</v>
      </c>
      <c r="I219" s="16">
        <v>30</v>
      </c>
      <c r="J219" s="16">
        <v>91</v>
      </c>
      <c r="K219" s="16">
        <v>37</v>
      </c>
      <c r="L219" s="16">
        <v>54</v>
      </c>
      <c r="M219" s="16">
        <v>87</v>
      </c>
      <c r="N219" s="16">
        <v>60</v>
      </c>
      <c r="O219" s="16">
        <f t="shared" si="26"/>
        <v>65.8</v>
      </c>
      <c r="P219" s="16" t="str">
        <f t="shared" si="27"/>
        <v>Fail</v>
      </c>
      <c r="Q219" s="16" t="str">
        <f t="shared" si="28"/>
        <v>B</v>
      </c>
      <c r="R219" s="16">
        <f t="shared" si="29"/>
        <v>1</v>
      </c>
      <c r="S219" s="16" t="str">
        <f t="shared" si="30"/>
        <v>GOOD</v>
      </c>
      <c r="T219" s="16"/>
      <c r="U219" s="17" t="str">
        <f t="shared" si="31"/>
        <v>NO</v>
      </c>
    </row>
    <row r="220" spans="1:21" x14ac:dyDescent="0.3">
      <c r="A220" s="12" t="str">
        <f t="shared" si="24"/>
        <v>ST219</v>
      </c>
      <c r="B220" s="13" t="s">
        <v>13</v>
      </c>
      <c r="C220" s="13">
        <v>21</v>
      </c>
      <c r="D220" s="13" t="s">
        <v>14</v>
      </c>
      <c r="E220" s="13">
        <v>7</v>
      </c>
      <c r="F220" s="13">
        <f t="shared" ca="1" si="25"/>
        <v>44</v>
      </c>
      <c r="G220" s="13">
        <v>2.1</v>
      </c>
      <c r="H220" s="13">
        <v>66</v>
      </c>
      <c r="I220" s="13">
        <v>44</v>
      </c>
      <c r="J220" s="13">
        <v>42</v>
      </c>
      <c r="K220" s="13">
        <v>43</v>
      </c>
      <c r="L220" s="13">
        <v>33</v>
      </c>
      <c r="M220" s="13">
        <v>74</v>
      </c>
      <c r="N220" s="13">
        <v>95</v>
      </c>
      <c r="O220" s="13">
        <f t="shared" si="26"/>
        <v>57.4</v>
      </c>
      <c r="P220" s="13" t="str">
        <f t="shared" si="27"/>
        <v>Fail</v>
      </c>
      <c r="Q220" s="13" t="str">
        <f t="shared" si="28"/>
        <v>C</v>
      </c>
      <c r="R220" s="13">
        <f t="shared" si="29"/>
        <v>1</v>
      </c>
      <c r="S220" s="13" t="str">
        <f t="shared" si="30"/>
        <v>AVERAGE</v>
      </c>
      <c r="T220" s="13"/>
      <c r="U220" s="14" t="str">
        <f t="shared" si="31"/>
        <v>NO</v>
      </c>
    </row>
    <row r="221" spans="1:21" x14ac:dyDescent="0.3">
      <c r="A221" s="15" t="str">
        <f t="shared" si="24"/>
        <v>ST220</v>
      </c>
      <c r="B221" s="16" t="s">
        <v>13</v>
      </c>
      <c r="C221" s="16">
        <v>21</v>
      </c>
      <c r="D221" s="16" t="s">
        <v>16</v>
      </c>
      <c r="E221" s="16">
        <v>8</v>
      </c>
      <c r="F221" s="16">
        <f t="shared" ca="1" si="25"/>
        <v>94</v>
      </c>
      <c r="G221" s="16">
        <v>5.5</v>
      </c>
      <c r="H221" s="16">
        <v>78</v>
      </c>
      <c r="I221" s="16">
        <v>48</v>
      </c>
      <c r="J221" s="16">
        <v>84</v>
      </c>
      <c r="K221" s="16">
        <v>59</v>
      </c>
      <c r="L221" s="16">
        <v>38</v>
      </c>
      <c r="M221" s="16">
        <v>71</v>
      </c>
      <c r="N221" s="16">
        <v>55</v>
      </c>
      <c r="O221" s="16">
        <f t="shared" si="26"/>
        <v>61.4</v>
      </c>
      <c r="P221" s="16" t="str">
        <f t="shared" si="27"/>
        <v>Fail</v>
      </c>
      <c r="Q221" s="16" t="str">
        <f t="shared" si="28"/>
        <v>B</v>
      </c>
      <c r="R221" s="16">
        <f t="shared" si="29"/>
        <v>1</v>
      </c>
      <c r="S221" s="16" t="str">
        <f t="shared" si="30"/>
        <v>GOOD</v>
      </c>
      <c r="T221" s="16"/>
      <c r="U221" s="17" t="str">
        <f t="shared" si="31"/>
        <v>NO</v>
      </c>
    </row>
    <row r="222" spans="1:21" x14ac:dyDescent="0.3">
      <c r="A222" s="12" t="str">
        <f t="shared" si="24"/>
        <v>ST221</v>
      </c>
      <c r="B222" s="13" t="s">
        <v>15</v>
      </c>
      <c r="C222" s="13">
        <v>21</v>
      </c>
      <c r="D222" s="13" t="s">
        <v>14</v>
      </c>
      <c r="E222" s="13">
        <v>8</v>
      </c>
      <c r="F222" s="13">
        <f t="shared" ca="1" si="25"/>
        <v>84</v>
      </c>
      <c r="G222" s="13">
        <v>5.0999999999999996</v>
      </c>
      <c r="H222" s="13">
        <v>89</v>
      </c>
      <c r="I222" s="13">
        <v>31</v>
      </c>
      <c r="J222" s="13">
        <v>31</v>
      </c>
      <c r="K222" s="13">
        <v>54</v>
      </c>
      <c r="L222" s="13">
        <v>40</v>
      </c>
      <c r="M222" s="13">
        <v>92</v>
      </c>
      <c r="N222" s="13">
        <v>56</v>
      </c>
      <c r="O222" s="13">
        <f t="shared" si="26"/>
        <v>54.6</v>
      </c>
      <c r="P222" s="13" t="str">
        <f t="shared" si="27"/>
        <v>Fail</v>
      </c>
      <c r="Q222" s="13" t="str">
        <f t="shared" si="28"/>
        <v>C</v>
      </c>
      <c r="R222" s="13">
        <f t="shared" si="29"/>
        <v>1</v>
      </c>
      <c r="S222" s="13" t="str">
        <f t="shared" si="30"/>
        <v>AVERAGE</v>
      </c>
      <c r="T222" s="13"/>
      <c r="U222" s="14" t="str">
        <f t="shared" si="31"/>
        <v>NO</v>
      </c>
    </row>
    <row r="223" spans="1:21" x14ac:dyDescent="0.3">
      <c r="A223" s="15" t="str">
        <f t="shared" si="24"/>
        <v>ST222</v>
      </c>
      <c r="B223" s="16" t="s">
        <v>13</v>
      </c>
      <c r="C223" s="16">
        <v>23</v>
      </c>
      <c r="D223" s="16" t="s">
        <v>17</v>
      </c>
      <c r="E223" s="16">
        <v>8</v>
      </c>
      <c r="F223" s="16">
        <f t="shared" ca="1" si="25"/>
        <v>91</v>
      </c>
      <c r="G223" s="16">
        <v>4.8</v>
      </c>
      <c r="H223" s="16">
        <v>91</v>
      </c>
      <c r="I223" s="16">
        <v>28</v>
      </c>
      <c r="J223" s="16">
        <v>73</v>
      </c>
      <c r="K223" s="16">
        <v>51</v>
      </c>
      <c r="L223" s="16">
        <v>32</v>
      </c>
      <c r="M223" s="16">
        <v>68</v>
      </c>
      <c r="N223" s="16">
        <v>73</v>
      </c>
      <c r="O223" s="16">
        <f t="shared" si="26"/>
        <v>59.4</v>
      </c>
      <c r="P223" s="16" t="str">
        <f t="shared" si="27"/>
        <v>Fail</v>
      </c>
      <c r="Q223" s="16" t="str">
        <f t="shared" si="28"/>
        <v>C</v>
      </c>
      <c r="R223" s="16">
        <f t="shared" si="29"/>
        <v>1</v>
      </c>
      <c r="S223" s="16" t="str">
        <f t="shared" si="30"/>
        <v>AVERAGE</v>
      </c>
      <c r="T223" s="16"/>
      <c r="U223" s="17" t="str">
        <f t="shared" si="31"/>
        <v>NO</v>
      </c>
    </row>
    <row r="224" spans="1:21" x14ac:dyDescent="0.3">
      <c r="A224" s="12" t="str">
        <f t="shared" si="24"/>
        <v>ST223</v>
      </c>
      <c r="B224" s="13" t="s">
        <v>15</v>
      </c>
      <c r="C224" s="13">
        <v>22</v>
      </c>
      <c r="D224" s="13" t="s">
        <v>17</v>
      </c>
      <c r="E224" s="13">
        <v>8</v>
      </c>
      <c r="F224" s="13">
        <f t="shared" ca="1" si="25"/>
        <v>81</v>
      </c>
      <c r="G224" s="13">
        <v>1.4</v>
      </c>
      <c r="H224" s="13">
        <v>81</v>
      </c>
      <c r="I224" s="13">
        <v>42</v>
      </c>
      <c r="J224" s="13">
        <v>41</v>
      </c>
      <c r="K224" s="13">
        <v>73</v>
      </c>
      <c r="L224" s="13">
        <v>85</v>
      </c>
      <c r="M224" s="13">
        <v>67</v>
      </c>
      <c r="N224" s="13">
        <v>74</v>
      </c>
      <c r="O224" s="13">
        <f t="shared" si="26"/>
        <v>68</v>
      </c>
      <c r="P224" s="13" t="str">
        <f t="shared" si="27"/>
        <v>Pass</v>
      </c>
      <c r="Q224" s="13" t="str">
        <f t="shared" si="28"/>
        <v>B</v>
      </c>
      <c r="R224" s="13">
        <f t="shared" si="29"/>
        <v>0</v>
      </c>
      <c r="S224" s="13" t="str">
        <f t="shared" si="30"/>
        <v>GOOD</v>
      </c>
      <c r="T224" s="13"/>
      <c r="U224" s="14" t="str">
        <f t="shared" si="31"/>
        <v>YES</v>
      </c>
    </row>
    <row r="225" spans="1:21" x14ac:dyDescent="0.3">
      <c r="A225" s="15" t="str">
        <f t="shared" si="24"/>
        <v>ST224</v>
      </c>
      <c r="B225" s="16" t="s">
        <v>15</v>
      </c>
      <c r="C225" s="16">
        <v>24</v>
      </c>
      <c r="D225" s="16" t="s">
        <v>18</v>
      </c>
      <c r="E225" s="16">
        <v>8</v>
      </c>
      <c r="F225" s="16">
        <f t="shared" ca="1" si="25"/>
        <v>78</v>
      </c>
      <c r="G225" s="16">
        <v>3.1</v>
      </c>
      <c r="H225" s="16">
        <v>99</v>
      </c>
      <c r="I225" s="16">
        <v>50</v>
      </c>
      <c r="J225" s="16">
        <v>25</v>
      </c>
      <c r="K225" s="16">
        <v>78</v>
      </c>
      <c r="L225" s="16">
        <v>61</v>
      </c>
      <c r="M225" s="16">
        <v>76</v>
      </c>
      <c r="N225" s="16">
        <v>48</v>
      </c>
      <c r="O225" s="16">
        <f t="shared" si="26"/>
        <v>57.599999999999994</v>
      </c>
      <c r="P225" s="16" t="str">
        <f t="shared" si="27"/>
        <v>Fail</v>
      </c>
      <c r="Q225" s="16" t="str">
        <f t="shared" si="28"/>
        <v>C</v>
      </c>
      <c r="R225" s="16">
        <f t="shared" si="29"/>
        <v>1</v>
      </c>
      <c r="S225" s="16" t="str">
        <f t="shared" si="30"/>
        <v>AVERAGE</v>
      </c>
      <c r="T225" s="16"/>
      <c r="U225" s="17" t="str">
        <f t="shared" si="31"/>
        <v>NO</v>
      </c>
    </row>
    <row r="226" spans="1:21" x14ac:dyDescent="0.3">
      <c r="A226" s="12" t="str">
        <f t="shared" si="24"/>
        <v>ST225</v>
      </c>
      <c r="B226" s="13" t="s">
        <v>15</v>
      </c>
      <c r="C226" s="13">
        <v>24</v>
      </c>
      <c r="D226" s="13" t="s">
        <v>16</v>
      </c>
      <c r="E226" s="13">
        <v>8</v>
      </c>
      <c r="F226" s="13">
        <f t="shared" ca="1" si="25"/>
        <v>76</v>
      </c>
      <c r="G226" s="13">
        <v>3.9</v>
      </c>
      <c r="H226" s="13">
        <v>74</v>
      </c>
      <c r="I226" s="13">
        <v>37</v>
      </c>
      <c r="J226" s="13">
        <v>65</v>
      </c>
      <c r="K226" s="13">
        <v>16</v>
      </c>
      <c r="L226" s="13">
        <v>46</v>
      </c>
      <c r="M226" s="13">
        <v>75</v>
      </c>
      <c r="N226" s="13">
        <v>98</v>
      </c>
      <c r="O226" s="13">
        <f t="shared" si="26"/>
        <v>60</v>
      </c>
      <c r="P226" s="13" t="str">
        <f t="shared" si="27"/>
        <v>Fail</v>
      </c>
      <c r="Q226" s="13" t="str">
        <f t="shared" si="28"/>
        <v>C</v>
      </c>
      <c r="R226" s="13">
        <f t="shared" si="29"/>
        <v>1</v>
      </c>
      <c r="S226" s="13" t="str">
        <f t="shared" si="30"/>
        <v>GOOD</v>
      </c>
      <c r="T226" s="13"/>
      <c r="U226" s="14" t="str">
        <f t="shared" si="31"/>
        <v>NO</v>
      </c>
    </row>
    <row r="227" spans="1:21" x14ac:dyDescent="0.3">
      <c r="A227" s="15" t="str">
        <f t="shared" si="24"/>
        <v>ST226</v>
      </c>
      <c r="B227" s="16" t="s">
        <v>13</v>
      </c>
      <c r="C227" s="16">
        <v>24</v>
      </c>
      <c r="D227" s="16" t="s">
        <v>14</v>
      </c>
      <c r="E227" s="16">
        <v>7</v>
      </c>
      <c r="F227" s="16">
        <f t="shared" ca="1" si="25"/>
        <v>76</v>
      </c>
      <c r="G227" s="16">
        <v>1.5</v>
      </c>
      <c r="H227" s="16">
        <v>91</v>
      </c>
      <c r="I227" s="16">
        <v>36</v>
      </c>
      <c r="J227" s="16">
        <v>75</v>
      </c>
      <c r="K227" s="16">
        <v>94</v>
      </c>
      <c r="L227" s="16">
        <v>68</v>
      </c>
      <c r="M227" s="16">
        <v>78</v>
      </c>
      <c r="N227" s="16">
        <v>89</v>
      </c>
      <c r="O227" s="16">
        <f t="shared" si="26"/>
        <v>80.800000000000011</v>
      </c>
      <c r="P227" s="16" t="str">
        <f t="shared" si="27"/>
        <v>Pass</v>
      </c>
      <c r="Q227" s="16" t="str">
        <f t="shared" si="28"/>
        <v>A</v>
      </c>
      <c r="R227" s="16">
        <f t="shared" si="29"/>
        <v>0</v>
      </c>
      <c r="S227" s="16" t="str">
        <f t="shared" si="30"/>
        <v>EXCELLENT</v>
      </c>
      <c r="T227" s="16"/>
      <c r="U227" s="17" t="str">
        <f t="shared" si="31"/>
        <v>YES</v>
      </c>
    </row>
    <row r="228" spans="1:21" x14ac:dyDescent="0.3">
      <c r="A228" s="12" t="str">
        <f t="shared" si="24"/>
        <v>ST227</v>
      </c>
      <c r="B228" s="13" t="s">
        <v>13</v>
      </c>
      <c r="C228" s="13">
        <v>23</v>
      </c>
      <c r="D228" s="13" t="s">
        <v>17</v>
      </c>
      <c r="E228" s="13">
        <v>7</v>
      </c>
      <c r="F228" s="13">
        <f t="shared" ca="1" si="25"/>
        <v>66</v>
      </c>
      <c r="G228" s="13">
        <v>2</v>
      </c>
      <c r="H228" s="13">
        <v>59</v>
      </c>
      <c r="I228" s="13">
        <v>18</v>
      </c>
      <c r="J228" s="13">
        <v>34</v>
      </c>
      <c r="K228" s="13">
        <v>67</v>
      </c>
      <c r="L228" s="13">
        <v>49</v>
      </c>
      <c r="M228" s="13">
        <v>69</v>
      </c>
      <c r="N228" s="13">
        <v>36</v>
      </c>
      <c r="O228" s="13">
        <f t="shared" si="26"/>
        <v>51</v>
      </c>
      <c r="P228" s="13" t="str">
        <f t="shared" si="27"/>
        <v>Fail</v>
      </c>
      <c r="Q228" s="13" t="str">
        <f t="shared" si="28"/>
        <v>C</v>
      </c>
      <c r="R228" s="13">
        <f t="shared" si="29"/>
        <v>2</v>
      </c>
      <c r="S228" s="13" t="str">
        <f t="shared" si="30"/>
        <v>AVERAGE</v>
      </c>
      <c r="T228" s="13"/>
      <c r="U228" s="14" t="str">
        <f t="shared" si="31"/>
        <v>NO</v>
      </c>
    </row>
    <row r="229" spans="1:21" x14ac:dyDescent="0.3">
      <c r="A229" s="15" t="str">
        <f t="shared" si="24"/>
        <v>ST228</v>
      </c>
      <c r="B229" s="16" t="s">
        <v>13</v>
      </c>
      <c r="C229" s="16">
        <v>21</v>
      </c>
      <c r="D229" s="16" t="s">
        <v>17</v>
      </c>
      <c r="E229" s="16">
        <v>7</v>
      </c>
      <c r="F229" s="16">
        <f t="shared" ca="1" si="25"/>
        <v>86</v>
      </c>
      <c r="G229" s="16">
        <v>2.7</v>
      </c>
      <c r="H229" s="16">
        <v>82</v>
      </c>
      <c r="I229" s="16">
        <v>22</v>
      </c>
      <c r="J229" s="16">
        <v>29</v>
      </c>
      <c r="K229" s="16">
        <v>59</v>
      </c>
      <c r="L229" s="16">
        <v>59</v>
      </c>
      <c r="M229" s="16">
        <v>76</v>
      </c>
      <c r="N229" s="16">
        <v>80</v>
      </c>
      <c r="O229" s="16">
        <f t="shared" si="26"/>
        <v>60.6</v>
      </c>
      <c r="P229" s="16" t="str">
        <f t="shared" si="27"/>
        <v>Fail</v>
      </c>
      <c r="Q229" s="16" t="str">
        <f t="shared" si="28"/>
        <v>B</v>
      </c>
      <c r="R229" s="16">
        <f t="shared" si="29"/>
        <v>1</v>
      </c>
      <c r="S229" s="16" t="str">
        <f t="shared" si="30"/>
        <v>GOOD</v>
      </c>
      <c r="T229" s="16"/>
      <c r="U229" s="17" t="str">
        <f t="shared" si="31"/>
        <v>NO</v>
      </c>
    </row>
    <row r="230" spans="1:21" x14ac:dyDescent="0.3">
      <c r="A230" s="12" t="str">
        <f t="shared" si="24"/>
        <v>ST229</v>
      </c>
      <c r="B230" s="13" t="s">
        <v>13</v>
      </c>
      <c r="C230" s="13">
        <v>21</v>
      </c>
      <c r="D230" s="13" t="s">
        <v>16</v>
      </c>
      <c r="E230" s="13">
        <v>8</v>
      </c>
      <c r="F230" s="13">
        <f t="shared" ca="1" si="25"/>
        <v>61</v>
      </c>
      <c r="G230" s="13">
        <v>2.2999999999999998</v>
      </c>
      <c r="H230" s="13">
        <v>60</v>
      </c>
      <c r="I230" s="13">
        <v>44</v>
      </c>
      <c r="J230" s="13">
        <v>57</v>
      </c>
      <c r="K230" s="13">
        <v>24</v>
      </c>
      <c r="L230" s="13">
        <v>43</v>
      </c>
      <c r="M230" s="13">
        <v>63</v>
      </c>
      <c r="N230" s="13">
        <v>45</v>
      </c>
      <c r="O230" s="13">
        <f t="shared" si="26"/>
        <v>46.400000000000006</v>
      </c>
      <c r="P230" s="13" t="str">
        <f t="shared" si="27"/>
        <v>Fail</v>
      </c>
      <c r="Q230" s="13" t="str">
        <f t="shared" si="28"/>
        <v>D</v>
      </c>
      <c r="R230" s="13">
        <f t="shared" si="29"/>
        <v>1</v>
      </c>
      <c r="S230" s="13" t="str">
        <f t="shared" si="30"/>
        <v>AVERAGE</v>
      </c>
      <c r="T230" s="13"/>
      <c r="U230" s="14" t="str">
        <f t="shared" si="31"/>
        <v>NO</v>
      </c>
    </row>
    <row r="231" spans="1:21" x14ac:dyDescent="0.3">
      <c r="A231" s="15" t="str">
        <f t="shared" si="24"/>
        <v>ST230</v>
      </c>
      <c r="B231" s="16" t="s">
        <v>13</v>
      </c>
      <c r="C231" s="16">
        <v>24</v>
      </c>
      <c r="D231" s="16" t="s">
        <v>17</v>
      </c>
      <c r="E231" s="16">
        <v>7</v>
      </c>
      <c r="F231" s="16">
        <f t="shared" ca="1" si="25"/>
        <v>60</v>
      </c>
      <c r="G231" s="16">
        <v>2.2999999999999998</v>
      </c>
      <c r="H231" s="16">
        <v>68</v>
      </c>
      <c r="I231" s="16">
        <v>43</v>
      </c>
      <c r="J231" s="16">
        <v>79</v>
      </c>
      <c r="K231" s="16">
        <v>46</v>
      </c>
      <c r="L231" s="16">
        <v>36</v>
      </c>
      <c r="M231" s="16">
        <v>75</v>
      </c>
      <c r="N231" s="16">
        <v>93</v>
      </c>
      <c r="O231" s="16">
        <f t="shared" si="26"/>
        <v>65.8</v>
      </c>
      <c r="P231" s="16" t="str">
        <f t="shared" si="27"/>
        <v>Fail</v>
      </c>
      <c r="Q231" s="16" t="str">
        <f t="shared" si="28"/>
        <v>B</v>
      </c>
      <c r="R231" s="16">
        <f t="shared" si="29"/>
        <v>1</v>
      </c>
      <c r="S231" s="16" t="str">
        <f t="shared" si="30"/>
        <v>GOOD</v>
      </c>
      <c r="T231" s="16"/>
      <c r="U231" s="17" t="str">
        <f t="shared" si="31"/>
        <v>NO</v>
      </c>
    </row>
    <row r="232" spans="1:21" x14ac:dyDescent="0.3">
      <c r="A232" s="12" t="str">
        <f t="shared" si="24"/>
        <v>ST231</v>
      </c>
      <c r="B232" s="13" t="s">
        <v>15</v>
      </c>
      <c r="C232" s="13">
        <v>22</v>
      </c>
      <c r="D232" s="13" t="s">
        <v>14</v>
      </c>
      <c r="E232" s="13">
        <v>7</v>
      </c>
      <c r="F232" s="13">
        <f t="shared" ca="1" si="25"/>
        <v>88</v>
      </c>
      <c r="G232" s="13">
        <v>2.2999999999999998</v>
      </c>
      <c r="H232" s="13">
        <v>90</v>
      </c>
      <c r="I232" s="13">
        <v>19</v>
      </c>
      <c r="J232" s="13">
        <v>19</v>
      </c>
      <c r="K232" s="13">
        <v>17</v>
      </c>
      <c r="L232" s="13">
        <v>40</v>
      </c>
      <c r="M232" s="13">
        <v>86</v>
      </c>
      <c r="N232" s="13">
        <v>60</v>
      </c>
      <c r="O232" s="13">
        <f t="shared" si="26"/>
        <v>44.4</v>
      </c>
      <c r="P232" s="13" t="str">
        <f t="shared" si="27"/>
        <v>Fail</v>
      </c>
      <c r="Q232" s="13" t="str">
        <f t="shared" si="28"/>
        <v>D</v>
      </c>
      <c r="R232" s="13">
        <f t="shared" si="29"/>
        <v>2</v>
      </c>
      <c r="S232" s="13" t="str">
        <f t="shared" si="30"/>
        <v>AVERAGE</v>
      </c>
      <c r="T232" s="13"/>
      <c r="U232" s="14" t="str">
        <f t="shared" si="31"/>
        <v>NO</v>
      </c>
    </row>
    <row r="233" spans="1:21" x14ac:dyDescent="0.3">
      <c r="A233" s="15" t="str">
        <f t="shared" si="24"/>
        <v>ST232</v>
      </c>
      <c r="B233" s="16" t="s">
        <v>13</v>
      </c>
      <c r="C233" s="16">
        <v>23</v>
      </c>
      <c r="D233" s="16" t="s">
        <v>14</v>
      </c>
      <c r="E233" s="16">
        <v>8</v>
      </c>
      <c r="F233" s="16">
        <f t="shared" ca="1" si="25"/>
        <v>41</v>
      </c>
      <c r="G233" s="16">
        <v>5.3</v>
      </c>
      <c r="H233" s="16">
        <v>51</v>
      </c>
      <c r="I233" s="16">
        <v>41</v>
      </c>
      <c r="J233" s="16">
        <v>55</v>
      </c>
      <c r="K233" s="16">
        <v>35</v>
      </c>
      <c r="L233" s="16">
        <v>68</v>
      </c>
      <c r="M233" s="16">
        <v>75</v>
      </c>
      <c r="N233" s="16">
        <v>82</v>
      </c>
      <c r="O233" s="16">
        <f t="shared" si="26"/>
        <v>63</v>
      </c>
      <c r="P233" s="16" t="str">
        <f t="shared" si="27"/>
        <v>Fail</v>
      </c>
      <c r="Q233" s="16" t="str">
        <f t="shared" si="28"/>
        <v>B</v>
      </c>
      <c r="R233" s="16">
        <f t="shared" si="29"/>
        <v>1</v>
      </c>
      <c r="S233" s="16" t="str">
        <f t="shared" si="30"/>
        <v>GOOD</v>
      </c>
      <c r="T233" s="16"/>
      <c r="U233" s="17" t="str">
        <f t="shared" si="31"/>
        <v>NO</v>
      </c>
    </row>
    <row r="234" spans="1:21" x14ac:dyDescent="0.3">
      <c r="A234" s="12" t="str">
        <f t="shared" si="24"/>
        <v>ST233</v>
      </c>
      <c r="B234" s="13" t="s">
        <v>13</v>
      </c>
      <c r="C234" s="13">
        <v>23</v>
      </c>
      <c r="D234" s="13" t="s">
        <v>17</v>
      </c>
      <c r="E234" s="13">
        <v>8</v>
      </c>
      <c r="F234" s="13">
        <f t="shared" ca="1" si="25"/>
        <v>93</v>
      </c>
      <c r="G234" s="13">
        <v>5.5</v>
      </c>
      <c r="H234" s="13">
        <v>88</v>
      </c>
      <c r="I234" s="13">
        <v>43</v>
      </c>
      <c r="J234" s="13">
        <v>56</v>
      </c>
      <c r="K234" s="13">
        <v>14</v>
      </c>
      <c r="L234" s="13">
        <v>87</v>
      </c>
      <c r="M234" s="13">
        <v>82</v>
      </c>
      <c r="N234" s="13">
        <v>76</v>
      </c>
      <c r="O234" s="13">
        <f t="shared" si="26"/>
        <v>63</v>
      </c>
      <c r="P234" s="13" t="str">
        <f t="shared" si="27"/>
        <v>Fail</v>
      </c>
      <c r="Q234" s="13" t="str">
        <f t="shared" si="28"/>
        <v>B</v>
      </c>
      <c r="R234" s="13">
        <f t="shared" si="29"/>
        <v>1</v>
      </c>
      <c r="S234" s="13" t="str">
        <f t="shared" si="30"/>
        <v>GOOD</v>
      </c>
      <c r="T234" s="13"/>
      <c r="U234" s="14" t="str">
        <f t="shared" si="31"/>
        <v>NO</v>
      </c>
    </row>
    <row r="235" spans="1:21" x14ac:dyDescent="0.3">
      <c r="A235" s="15" t="str">
        <f t="shared" si="24"/>
        <v>ST234</v>
      </c>
      <c r="B235" s="16" t="s">
        <v>15</v>
      </c>
      <c r="C235" s="16">
        <v>24</v>
      </c>
      <c r="D235" s="16" t="s">
        <v>16</v>
      </c>
      <c r="E235" s="16">
        <v>7</v>
      </c>
      <c r="F235" s="16">
        <f t="shared" ca="1" si="25"/>
        <v>83</v>
      </c>
      <c r="G235" s="16">
        <v>3.2</v>
      </c>
      <c r="H235" s="16">
        <v>95</v>
      </c>
      <c r="I235" s="16">
        <v>47</v>
      </c>
      <c r="J235" s="16">
        <v>49</v>
      </c>
      <c r="K235" s="16">
        <v>21</v>
      </c>
      <c r="L235" s="16">
        <v>81</v>
      </c>
      <c r="M235" s="16">
        <v>71</v>
      </c>
      <c r="N235" s="16">
        <v>31</v>
      </c>
      <c r="O235" s="16">
        <f t="shared" si="26"/>
        <v>50.6</v>
      </c>
      <c r="P235" s="16" t="str">
        <f t="shared" si="27"/>
        <v>Fail</v>
      </c>
      <c r="Q235" s="16" t="str">
        <f t="shared" si="28"/>
        <v>C</v>
      </c>
      <c r="R235" s="16">
        <f t="shared" si="29"/>
        <v>2</v>
      </c>
      <c r="S235" s="16" t="str">
        <f t="shared" si="30"/>
        <v>AVERAGE</v>
      </c>
      <c r="T235" s="16"/>
      <c r="U235" s="17" t="str">
        <f t="shared" si="31"/>
        <v>NO</v>
      </c>
    </row>
    <row r="236" spans="1:21" x14ac:dyDescent="0.3">
      <c r="A236" s="12" t="str">
        <f t="shared" si="24"/>
        <v>ST235</v>
      </c>
      <c r="B236" s="13" t="s">
        <v>13</v>
      </c>
      <c r="C236" s="13">
        <v>23</v>
      </c>
      <c r="D236" s="13" t="s">
        <v>17</v>
      </c>
      <c r="E236" s="13">
        <v>7</v>
      </c>
      <c r="F236" s="13">
        <f t="shared" ca="1" si="25"/>
        <v>57</v>
      </c>
      <c r="G236" s="13">
        <v>5.4</v>
      </c>
      <c r="H236" s="13">
        <v>63</v>
      </c>
      <c r="I236" s="13">
        <v>48</v>
      </c>
      <c r="J236" s="13">
        <v>94</v>
      </c>
      <c r="K236" s="13">
        <v>43</v>
      </c>
      <c r="L236" s="13">
        <v>72</v>
      </c>
      <c r="M236" s="13">
        <v>92</v>
      </c>
      <c r="N236" s="13">
        <v>32</v>
      </c>
      <c r="O236" s="13">
        <f t="shared" si="26"/>
        <v>66.600000000000009</v>
      </c>
      <c r="P236" s="13" t="str">
        <f t="shared" si="27"/>
        <v>Fail</v>
      </c>
      <c r="Q236" s="13" t="str">
        <f t="shared" si="28"/>
        <v>B</v>
      </c>
      <c r="R236" s="13">
        <f t="shared" si="29"/>
        <v>1</v>
      </c>
      <c r="S236" s="13" t="str">
        <f t="shared" si="30"/>
        <v>GOOD</v>
      </c>
      <c r="T236" s="13"/>
      <c r="U236" s="14" t="str">
        <f t="shared" si="31"/>
        <v>NO</v>
      </c>
    </row>
    <row r="237" spans="1:21" x14ac:dyDescent="0.3">
      <c r="A237" s="15" t="str">
        <f t="shared" si="24"/>
        <v>ST236</v>
      </c>
      <c r="B237" s="16" t="s">
        <v>15</v>
      </c>
      <c r="C237" s="16">
        <v>23</v>
      </c>
      <c r="D237" s="16" t="s">
        <v>17</v>
      </c>
      <c r="E237" s="16">
        <v>8</v>
      </c>
      <c r="F237" s="16">
        <f t="shared" ca="1" si="25"/>
        <v>49</v>
      </c>
      <c r="G237" s="16">
        <v>5.5</v>
      </c>
      <c r="H237" s="16">
        <v>52</v>
      </c>
      <c r="I237" s="16">
        <v>26</v>
      </c>
      <c r="J237" s="16">
        <v>27</v>
      </c>
      <c r="K237" s="16">
        <v>42</v>
      </c>
      <c r="L237" s="16">
        <v>67</v>
      </c>
      <c r="M237" s="16">
        <v>90</v>
      </c>
      <c r="N237" s="16">
        <v>33</v>
      </c>
      <c r="O237" s="16">
        <f t="shared" si="26"/>
        <v>51.800000000000004</v>
      </c>
      <c r="P237" s="16" t="str">
        <f t="shared" si="27"/>
        <v>Fail</v>
      </c>
      <c r="Q237" s="16" t="str">
        <f t="shared" si="28"/>
        <v>C</v>
      </c>
      <c r="R237" s="16">
        <f t="shared" si="29"/>
        <v>2</v>
      </c>
      <c r="S237" s="16" t="str">
        <f t="shared" si="30"/>
        <v>AVERAGE</v>
      </c>
      <c r="T237" s="16"/>
      <c r="U237" s="17" t="str">
        <f t="shared" si="31"/>
        <v>NO</v>
      </c>
    </row>
    <row r="238" spans="1:21" x14ac:dyDescent="0.3">
      <c r="A238" s="12" t="str">
        <f t="shared" si="24"/>
        <v>ST237</v>
      </c>
      <c r="B238" s="13" t="s">
        <v>15</v>
      </c>
      <c r="C238" s="13">
        <v>23</v>
      </c>
      <c r="D238" s="13" t="s">
        <v>16</v>
      </c>
      <c r="E238" s="13">
        <v>8</v>
      </c>
      <c r="F238" s="13">
        <f t="shared" ca="1" si="25"/>
        <v>69</v>
      </c>
      <c r="G238" s="13">
        <v>3</v>
      </c>
      <c r="H238" s="13">
        <v>70</v>
      </c>
      <c r="I238" s="13">
        <v>33</v>
      </c>
      <c r="J238" s="13">
        <v>82</v>
      </c>
      <c r="K238" s="13">
        <v>34</v>
      </c>
      <c r="L238" s="13">
        <v>75</v>
      </c>
      <c r="M238" s="13">
        <v>89</v>
      </c>
      <c r="N238" s="13">
        <v>76</v>
      </c>
      <c r="O238" s="13">
        <f t="shared" si="26"/>
        <v>71.2</v>
      </c>
      <c r="P238" s="13" t="str">
        <f t="shared" si="27"/>
        <v>Fail</v>
      </c>
      <c r="Q238" s="13" t="str">
        <f t="shared" si="28"/>
        <v>B</v>
      </c>
      <c r="R238" s="13">
        <f t="shared" si="29"/>
        <v>1</v>
      </c>
      <c r="S238" s="13" t="str">
        <f t="shared" si="30"/>
        <v>GOOD</v>
      </c>
      <c r="T238" s="13"/>
      <c r="U238" s="14" t="str">
        <f t="shared" si="31"/>
        <v>NO</v>
      </c>
    </row>
    <row r="239" spans="1:21" x14ac:dyDescent="0.3">
      <c r="A239" s="15" t="str">
        <f t="shared" si="24"/>
        <v>ST238</v>
      </c>
      <c r="B239" s="16" t="s">
        <v>13</v>
      </c>
      <c r="C239" s="16">
        <v>23</v>
      </c>
      <c r="D239" s="16" t="s">
        <v>18</v>
      </c>
      <c r="E239" s="16">
        <v>8</v>
      </c>
      <c r="F239" s="16">
        <f t="shared" ca="1" si="25"/>
        <v>55</v>
      </c>
      <c r="G239" s="16">
        <v>5</v>
      </c>
      <c r="H239" s="16">
        <v>51</v>
      </c>
      <c r="I239" s="16">
        <v>27</v>
      </c>
      <c r="J239" s="16">
        <v>28</v>
      </c>
      <c r="K239" s="16">
        <v>10</v>
      </c>
      <c r="L239" s="16">
        <v>69</v>
      </c>
      <c r="M239" s="16">
        <v>91</v>
      </c>
      <c r="N239" s="16">
        <v>96</v>
      </c>
      <c r="O239" s="16">
        <f t="shared" si="26"/>
        <v>58.8</v>
      </c>
      <c r="P239" s="16" t="str">
        <f t="shared" si="27"/>
        <v>Fail</v>
      </c>
      <c r="Q239" s="16" t="str">
        <f t="shared" si="28"/>
        <v>C</v>
      </c>
      <c r="R239" s="16">
        <f t="shared" si="29"/>
        <v>2</v>
      </c>
      <c r="S239" s="16" t="str">
        <f t="shared" si="30"/>
        <v>AVERAGE</v>
      </c>
      <c r="T239" s="16"/>
      <c r="U239" s="17" t="str">
        <f t="shared" si="31"/>
        <v>NO</v>
      </c>
    </row>
    <row r="240" spans="1:21" x14ac:dyDescent="0.3">
      <c r="A240" s="12" t="str">
        <f t="shared" si="24"/>
        <v>ST239</v>
      </c>
      <c r="B240" s="13" t="s">
        <v>15</v>
      </c>
      <c r="C240" s="13">
        <v>23</v>
      </c>
      <c r="D240" s="13" t="s">
        <v>17</v>
      </c>
      <c r="E240" s="13">
        <v>7</v>
      </c>
      <c r="F240" s="13">
        <f t="shared" ca="1" si="25"/>
        <v>40</v>
      </c>
      <c r="G240" s="13">
        <v>3.5</v>
      </c>
      <c r="H240" s="13">
        <v>55</v>
      </c>
      <c r="I240" s="13">
        <v>33</v>
      </c>
      <c r="J240" s="13">
        <v>23</v>
      </c>
      <c r="K240" s="13">
        <v>11</v>
      </c>
      <c r="L240" s="13">
        <v>88</v>
      </c>
      <c r="M240" s="13">
        <v>62</v>
      </c>
      <c r="N240" s="13">
        <v>96</v>
      </c>
      <c r="O240" s="13">
        <f t="shared" si="26"/>
        <v>56.000000000000007</v>
      </c>
      <c r="P240" s="13" t="str">
        <f t="shared" si="27"/>
        <v>Fail</v>
      </c>
      <c r="Q240" s="13" t="str">
        <f t="shared" si="28"/>
        <v>C</v>
      </c>
      <c r="R240" s="13">
        <f t="shared" si="29"/>
        <v>2</v>
      </c>
      <c r="S240" s="13" t="str">
        <f t="shared" si="30"/>
        <v>AVERAGE</v>
      </c>
      <c r="T240" s="13"/>
      <c r="U240" s="14" t="str">
        <f t="shared" si="31"/>
        <v>NO</v>
      </c>
    </row>
    <row r="241" spans="1:21" x14ac:dyDescent="0.3">
      <c r="A241" s="15" t="str">
        <f t="shared" si="24"/>
        <v>ST240</v>
      </c>
      <c r="B241" s="16" t="s">
        <v>13</v>
      </c>
      <c r="C241" s="16">
        <v>21</v>
      </c>
      <c r="D241" s="16" t="s">
        <v>16</v>
      </c>
      <c r="E241" s="16">
        <v>7</v>
      </c>
      <c r="F241" s="16">
        <f t="shared" ca="1" si="25"/>
        <v>61</v>
      </c>
      <c r="G241" s="16">
        <v>1.1000000000000001</v>
      </c>
      <c r="H241" s="16">
        <v>64</v>
      </c>
      <c r="I241" s="16">
        <v>25</v>
      </c>
      <c r="J241" s="16">
        <v>43</v>
      </c>
      <c r="K241" s="16">
        <v>11</v>
      </c>
      <c r="L241" s="16">
        <v>93</v>
      </c>
      <c r="M241" s="16">
        <v>90</v>
      </c>
      <c r="N241" s="16">
        <v>88</v>
      </c>
      <c r="O241" s="16">
        <f t="shared" si="26"/>
        <v>65</v>
      </c>
      <c r="P241" s="16" t="str">
        <f t="shared" si="27"/>
        <v>Fail</v>
      </c>
      <c r="Q241" s="16" t="str">
        <f t="shared" si="28"/>
        <v>B</v>
      </c>
      <c r="R241" s="16">
        <f t="shared" si="29"/>
        <v>1</v>
      </c>
      <c r="S241" s="16" t="str">
        <f t="shared" si="30"/>
        <v>GOOD</v>
      </c>
      <c r="T241" s="16"/>
      <c r="U241" s="17" t="str">
        <f t="shared" si="31"/>
        <v>NO</v>
      </c>
    </row>
    <row r="242" spans="1:21" x14ac:dyDescent="0.3">
      <c r="A242" s="12" t="str">
        <f t="shared" si="24"/>
        <v>ST241</v>
      </c>
      <c r="B242" s="13" t="s">
        <v>15</v>
      </c>
      <c r="C242" s="13">
        <v>23</v>
      </c>
      <c r="D242" s="13" t="s">
        <v>18</v>
      </c>
      <c r="E242" s="13">
        <v>8</v>
      </c>
      <c r="F242" s="13">
        <f t="shared" ca="1" si="25"/>
        <v>75</v>
      </c>
      <c r="G242" s="13">
        <v>4.0999999999999996</v>
      </c>
      <c r="H242" s="13">
        <v>79</v>
      </c>
      <c r="I242" s="13">
        <v>41</v>
      </c>
      <c r="J242" s="13">
        <v>18</v>
      </c>
      <c r="K242" s="13">
        <v>37</v>
      </c>
      <c r="L242" s="13">
        <v>20</v>
      </c>
      <c r="M242" s="13">
        <v>62</v>
      </c>
      <c r="N242" s="13">
        <v>88</v>
      </c>
      <c r="O242" s="13">
        <f t="shared" si="26"/>
        <v>45</v>
      </c>
      <c r="P242" s="13" t="str">
        <f t="shared" si="27"/>
        <v>Fail</v>
      </c>
      <c r="Q242" s="13" t="str">
        <f t="shared" si="28"/>
        <v>D</v>
      </c>
      <c r="R242" s="13">
        <f t="shared" si="29"/>
        <v>3</v>
      </c>
      <c r="S242" s="13" t="str">
        <f t="shared" si="30"/>
        <v>AVERAGE</v>
      </c>
      <c r="T242" s="13"/>
      <c r="U242" s="14" t="str">
        <f t="shared" si="31"/>
        <v>NO</v>
      </c>
    </row>
    <row r="243" spans="1:21" x14ac:dyDescent="0.3">
      <c r="A243" s="15" t="str">
        <f t="shared" si="24"/>
        <v>ST242</v>
      </c>
      <c r="B243" s="16" t="s">
        <v>13</v>
      </c>
      <c r="C243" s="16">
        <v>21</v>
      </c>
      <c r="D243" s="16" t="s">
        <v>17</v>
      </c>
      <c r="E243" s="16">
        <v>8</v>
      </c>
      <c r="F243" s="16">
        <f t="shared" ca="1" si="25"/>
        <v>89</v>
      </c>
      <c r="G243" s="16">
        <v>2.8</v>
      </c>
      <c r="H243" s="16">
        <v>87</v>
      </c>
      <c r="I243" s="16">
        <v>41</v>
      </c>
      <c r="J243" s="16">
        <v>38</v>
      </c>
      <c r="K243" s="16">
        <v>31</v>
      </c>
      <c r="L243" s="16">
        <v>36</v>
      </c>
      <c r="M243" s="16">
        <v>72</v>
      </c>
      <c r="N243" s="16">
        <v>56</v>
      </c>
      <c r="O243" s="16">
        <f t="shared" si="26"/>
        <v>46.6</v>
      </c>
      <c r="P243" s="16" t="str">
        <f t="shared" si="27"/>
        <v>Fail</v>
      </c>
      <c r="Q243" s="16" t="str">
        <f t="shared" si="28"/>
        <v>D</v>
      </c>
      <c r="R243" s="16">
        <f t="shared" si="29"/>
        <v>3</v>
      </c>
      <c r="S243" s="16" t="str">
        <f t="shared" si="30"/>
        <v>AVERAGE</v>
      </c>
      <c r="T243" s="16"/>
      <c r="U243" s="17" t="str">
        <f t="shared" si="31"/>
        <v>NO</v>
      </c>
    </row>
    <row r="244" spans="1:21" x14ac:dyDescent="0.3">
      <c r="A244" s="12" t="str">
        <f t="shared" si="24"/>
        <v>ST243</v>
      </c>
      <c r="B244" s="13" t="s">
        <v>13</v>
      </c>
      <c r="C244" s="13">
        <v>23</v>
      </c>
      <c r="D244" s="13" t="s">
        <v>17</v>
      </c>
      <c r="E244" s="13">
        <v>8</v>
      </c>
      <c r="F244" s="13">
        <f t="shared" ca="1" si="25"/>
        <v>79</v>
      </c>
      <c r="G244" s="13">
        <v>2.9</v>
      </c>
      <c r="H244" s="13">
        <v>80</v>
      </c>
      <c r="I244" s="13">
        <v>26</v>
      </c>
      <c r="J244" s="13">
        <v>14</v>
      </c>
      <c r="K244" s="13">
        <v>82</v>
      </c>
      <c r="L244" s="13">
        <v>57</v>
      </c>
      <c r="M244" s="13">
        <v>78</v>
      </c>
      <c r="N244" s="13">
        <v>80</v>
      </c>
      <c r="O244" s="13">
        <f t="shared" si="26"/>
        <v>62.2</v>
      </c>
      <c r="P244" s="13" t="str">
        <f t="shared" si="27"/>
        <v>Fail</v>
      </c>
      <c r="Q244" s="13" t="str">
        <f t="shared" si="28"/>
        <v>B</v>
      </c>
      <c r="R244" s="13">
        <f t="shared" si="29"/>
        <v>1</v>
      </c>
      <c r="S244" s="13" t="str">
        <f t="shared" si="30"/>
        <v>GOOD</v>
      </c>
      <c r="T244" s="13"/>
      <c r="U244" s="14" t="str">
        <f t="shared" si="31"/>
        <v>NO</v>
      </c>
    </row>
    <row r="245" spans="1:21" x14ac:dyDescent="0.3">
      <c r="A245" s="15" t="str">
        <f t="shared" si="24"/>
        <v>ST244</v>
      </c>
      <c r="B245" s="16" t="s">
        <v>15</v>
      </c>
      <c r="C245" s="16">
        <v>24</v>
      </c>
      <c r="D245" s="16" t="s">
        <v>17</v>
      </c>
      <c r="E245" s="16">
        <v>7</v>
      </c>
      <c r="F245" s="16">
        <f t="shared" ca="1" si="25"/>
        <v>88</v>
      </c>
      <c r="G245" s="16">
        <v>4.5</v>
      </c>
      <c r="H245" s="16">
        <v>97</v>
      </c>
      <c r="I245" s="16">
        <v>40</v>
      </c>
      <c r="J245" s="16">
        <v>19</v>
      </c>
      <c r="K245" s="16">
        <v>81</v>
      </c>
      <c r="L245" s="16">
        <v>37</v>
      </c>
      <c r="M245" s="16">
        <v>85</v>
      </c>
      <c r="N245" s="16">
        <v>64</v>
      </c>
      <c r="O245" s="16">
        <f t="shared" si="26"/>
        <v>57.199999999999996</v>
      </c>
      <c r="P245" s="16" t="str">
        <f t="shared" si="27"/>
        <v>Fail</v>
      </c>
      <c r="Q245" s="16" t="str">
        <f t="shared" si="28"/>
        <v>C</v>
      </c>
      <c r="R245" s="16">
        <f t="shared" si="29"/>
        <v>2</v>
      </c>
      <c r="S245" s="16" t="str">
        <f t="shared" si="30"/>
        <v>AVERAGE</v>
      </c>
      <c r="T245" s="16"/>
      <c r="U245" s="17" t="str">
        <f t="shared" si="31"/>
        <v>NO</v>
      </c>
    </row>
    <row r="246" spans="1:21" x14ac:dyDescent="0.3">
      <c r="A246" s="12" t="str">
        <f t="shared" si="24"/>
        <v>ST245</v>
      </c>
      <c r="B246" s="13" t="s">
        <v>13</v>
      </c>
      <c r="C246" s="13">
        <v>24</v>
      </c>
      <c r="D246" s="13" t="s">
        <v>14</v>
      </c>
      <c r="E246" s="13">
        <v>8</v>
      </c>
      <c r="F246" s="13">
        <f t="shared" ca="1" si="25"/>
        <v>47</v>
      </c>
      <c r="G246" s="13">
        <v>4.7</v>
      </c>
      <c r="H246" s="13">
        <v>57</v>
      </c>
      <c r="I246" s="13">
        <v>19</v>
      </c>
      <c r="J246" s="13">
        <v>12</v>
      </c>
      <c r="K246" s="13">
        <v>89</v>
      </c>
      <c r="L246" s="13">
        <v>23</v>
      </c>
      <c r="M246" s="13">
        <v>60</v>
      </c>
      <c r="N246" s="13">
        <v>63</v>
      </c>
      <c r="O246" s="13">
        <f t="shared" si="26"/>
        <v>49.4</v>
      </c>
      <c r="P246" s="13" t="str">
        <f t="shared" si="27"/>
        <v>Fail</v>
      </c>
      <c r="Q246" s="13" t="str">
        <f t="shared" si="28"/>
        <v>D</v>
      </c>
      <c r="R246" s="13">
        <f t="shared" si="29"/>
        <v>2</v>
      </c>
      <c r="S246" s="13" t="str">
        <f t="shared" si="30"/>
        <v>AVERAGE</v>
      </c>
      <c r="T246" s="13"/>
      <c r="U246" s="14" t="str">
        <f t="shared" si="31"/>
        <v>NO</v>
      </c>
    </row>
    <row r="247" spans="1:21" x14ac:dyDescent="0.3">
      <c r="A247" s="15" t="str">
        <f t="shared" si="24"/>
        <v>ST246</v>
      </c>
      <c r="B247" s="16" t="s">
        <v>13</v>
      </c>
      <c r="C247" s="16">
        <v>22</v>
      </c>
      <c r="D247" s="16" t="s">
        <v>16</v>
      </c>
      <c r="E247" s="16">
        <v>8</v>
      </c>
      <c r="F247" s="16">
        <f t="shared" ca="1" si="25"/>
        <v>47</v>
      </c>
      <c r="G247" s="16">
        <v>3.8</v>
      </c>
      <c r="H247" s="16">
        <v>70</v>
      </c>
      <c r="I247" s="16">
        <v>27</v>
      </c>
      <c r="J247" s="16">
        <v>49</v>
      </c>
      <c r="K247" s="16">
        <v>89</v>
      </c>
      <c r="L247" s="16">
        <v>49</v>
      </c>
      <c r="M247" s="16">
        <v>75</v>
      </c>
      <c r="N247" s="16">
        <v>77</v>
      </c>
      <c r="O247" s="16">
        <f t="shared" si="26"/>
        <v>67.800000000000011</v>
      </c>
      <c r="P247" s="16" t="str">
        <f t="shared" si="27"/>
        <v>Pass</v>
      </c>
      <c r="Q247" s="16" t="str">
        <f t="shared" si="28"/>
        <v>B</v>
      </c>
      <c r="R247" s="16">
        <f t="shared" si="29"/>
        <v>0</v>
      </c>
      <c r="S247" s="16" t="str">
        <f t="shared" si="30"/>
        <v>GOOD</v>
      </c>
      <c r="T247" s="16"/>
      <c r="U247" s="17" t="str">
        <f t="shared" si="31"/>
        <v>YES</v>
      </c>
    </row>
    <row r="248" spans="1:21" x14ac:dyDescent="0.3">
      <c r="A248" s="12" t="str">
        <f t="shared" si="24"/>
        <v>ST247</v>
      </c>
      <c r="B248" s="13" t="s">
        <v>15</v>
      </c>
      <c r="C248" s="13">
        <v>22</v>
      </c>
      <c r="D248" s="13" t="s">
        <v>16</v>
      </c>
      <c r="E248" s="13">
        <v>8</v>
      </c>
      <c r="F248" s="13">
        <f t="shared" ca="1" si="25"/>
        <v>79</v>
      </c>
      <c r="G248" s="13">
        <v>4.0999999999999996</v>
      </c>
      <c r="H248" s="13">
        <v>84</v>
      </c>
      <c r="I248" s="13">
        <v>29</v>
      </c>
      <c r="J248" s="13">
        <v>22</v>
      </c>
      <c r="K248" s="13">
        <v>95</v>
      </c>
      <c r="L248" s="13">
        <v>51</v>
      </c>
      <c r="M248" s="13">
        <v>65</v>
      </c>
      <c r="N248" s="13">
        <v>73</v>
      </c>
      <c r="O248" s="13">
        <f t="shared" si="26"/>
        <v>61.199999999999996</v>
      </c>
      <c r="P248" s="13" t="str">
        <f t="shared" si="27"/>
        <v>Fail</v>
      </c>
      <c r="Q248" s="13" t="str">
        <f t="shared" si="28"/>
        <v>B</v>
      </c>
      <c r="R248" s="13">
        <f t="shared" si="29"/>
        <v>1</v>
      </c>
      <c r="S248" s="13" t="str">
        <f t="shared" si="30"/>
        <v>GOOD</v>
      </c>
      <c r="T248" s="13"/>
      <c r="U248" s="14" t="str">
        <f t="shared" si="31"/>
        <v>NO</v>
      </c>
    </row>
    <row r="249" spans="1:21" x14ac:dyDescent="0.3">
      <c r="A249" s="15" t="str">
        <f t="shared" si="24"/>
        <v>ST248</v>
      </c>
      <c r="B249" s="16" t="s">
        <v>13</v>
      </c>
      <c r="C249" s="16">
        <v>24</v>
      </c>
      <c r="D249" s="16" t="s">
        <v>18</v>
      </c>
      <c r="E249" s="16">
        <v>7</v>
      </c>
      <c r="F249" s="16">
        <f t="shared" ca="1" si="25"/>
        <v>89</v>
      </c>
      <c r="G249" s="16">
        <v>4</v>
      </c>
      <c r="H249" s="16">
        <v>100</v>
      </c>
      <c r="I249" s="16">
        <v>18</v>
      </c>
      <c r="J249" s="16">
        <v>71</v>
      </c>
      <c r="K249" s="16">
        <v>58</v>
      </c>
      <c r="L249" s="16">
        <v>81</v>
      </c>
      <c r="M249" s="16">
        <v>98</v>
      </c>
      <c r="N249" s="16">
        <v>97</v>
      </c>
      <c r="O249" s="16">
        <f t="shared" si="26"/>
        <v>81</v>
      </c>
      <c r="P249" s="16" t="str">
        <f t="shared" si="27"/>
        <v>Pass</v>
      </c>
      <c r="Q249" s="16" t="str">
        <f t="shared" si="28"/>
        <v>A</v>
      </c>
      <c r="R249" s="16">
        <f t="shared" si="29"/>
        <v>0</v>
      </c>
      <c r="S249" s="16" t="str">
        <f t="shared" si="30"/>
        <v>EXCELLENT</v>
      </c>
      <c r="T249" s="16"/>
      <c r="U249" s="17" t="str">
        <f t="shared" si="31"/>
        <v>YES</v>
      </c>
    </row>
    <row r="250" spans="1:21" x14ac:dyDescent="0.3">
      <c r="A250" s="12" t="str">
        <f t="shared" si="24"/>
        <v>ST249</v>
      </c>
      <c r="B250" s="13" t="s">
        <v>13</v>
      </c>
      <c r="C250" s="13">
        <v>22</v>
      </c>
      <c r="D250" s="13" t="s">
        <v>18</v>
      </c>
      <c r="E250" s="13">
        <v>7</v>
      </c>
      <c r="F250" s="13">
        <f t="shared" ca="1" si="25"/>
        <v>69</v>
      </c>
      <c r="G250" s="13">
        <v>2.5</v>
      </c>
      <c r="H250" s="13">
        <v>64</v>
      </c>
      <c r="I250" s="13">
        <v>26</v>
      </c>
      <c r="J250" s="13">
        <v>17</v>
      </c>
      <c r="K250" s="13">
        <v>71</v>
      </c>
      <c r="L250" s="13">
        <v>93</v>
      </c>
      <c r="M250" s="13">
        <v>65</v>
      </c>
      <c r="N250" s="13">
        <v>44</v>
      </c>
      <c r="O250" s="13">
        <f t="shared" si="26"/>
        <v>57.999999999999993</v>
      </c>
      <c r="P250" s="13" t="str">
        <f t="shared" si="27"/>
        <v>Fail</v>
      </c>
      <c r="Q250" s="13" t="str">
        <f t="shared" si="28"/>
        <v>C</v>
      </c>
      <c r="R250" s="13">
        <f t="shared" si="29"/>
        <v>1</v>
      </c>
      <c r="S250" s="13" t="str">
        <f t="shared" si="30"/>
        <v>AVERAGE</v>
      </c>
      <c r="T250" s="13"/>
      <c r="U250" s="14" t="str">
        <f t="shared" si="31"/>
        <v>NO</v>
      </c>
    </row>
    <row r="251" spans="1:21" x14ac:dyDescent="0.3">
      <c r="A251" s="15" t="str">
        <f t="shared" si="24"/>
        <v>ST250</v>
      </c>
      <c r="B251" s="16" t="s">
        <v>13</v>
      </c>
      <c r="C251" s="16">
        <v>22</v>
      </c>
      <c r="D251" s="16" t="s">
        <v>18</v>
      </c>
      <c r="E251" s="16">
        <v>7</v>
      </c>
      <c r="F251" s="16">
        <f t="shared" ca="1" si="25"/>
        <v>87</v>
      </c>
      <c r="G251" s="16">
        <v>1.8</v>
      </c>
      <c r="H251" s="16">
        <v>91</v>
      </c>
      <c r="I251" s="16">
        <v>22</v>
      </c>
      <c r="J251" s="16">
        <v>47</v>
      </c>
      <c r="K251" s="16">
        <v>28</v>
      </c>
      <c r="L251" s="16">
        <v>84</v>
      </c>
      <c r="M251" s="16">
        <v>72</v>
      </c>
      <c r="N251" s="16">
        <v>100</v>
      </c>
      <c r="O251" s="16">
        <f t="shared" si="26"/>
        <v>66.2</v>
      </c>
      <c r="P251" s="16" t="str">
        <f t="shared" si="27"/>
        <v>Fail</v>
      </c>
      <c r="Q251" s="16" t="str">
        <f t="shared" si="28"/>
        <v>B</v>
      </c>
      <c r="R251" s="16">
        <f t="shared" si="29"/>
        <v>1</v>
      </c>
      <c r="S251" s="16" t="str">
        <f t="shared" si="30"/>
        <v>GOOD</v>
      </c>
      <c r="T251" s="16"/>
      <c r="U251" s="17" t="str">
        <f t="shared" si="31"/>
        <v>NO</v>
      </c>
    </row>
    <row r="252" spans="1:21" x14ac:dyDescent="0.3">
      <c r="A252" s="12" t="str">
        <f t="shared" si="24"/>
        <v>ST251</v>
      </c>
      <c r="B252" s="13" t="s">
        <v>13</v>
      </c>
      <c r="C252" s="13">
        <v>22</v>
      </c>
      <c r="D252" s="13" t="s">
        <v>18</v>
      </c>
      <c r="E252" s="13">
        <v>8</v>
      </c>
      <c r="F252" s="13">
        <f t="shared" ca="1" si="25"/>
        <v>69</v>
      </c>
      <c r="G252" s="13">
        <v>1.3</v>
      </c>
      <c r="H252" s="13">
        <v>64</v>
      </c>
      <c r="I252" s="13">
        <v>33</v>
      </c>
      <c r="J252" s="13">
        <v>82</v>
      </c>
      <c r="K252" s="13">
        <v>28</v>
      </c>
      <c r="L252" s="13">
        <v>47</v>
      </c>
      <c r="M252" s="13">
        <v>89</v>
      </c>
      <c r="N252" s="13">
        <v>37</v>
      </c>
      <c r="O252" s="13">
        <f t="shared" si="26"/>
        <v>56.599999999999994</v>
      </c>
      <c r="P252" s="13" t="str">
        <f t="shared" si="27"/>
        <v>Fail</v>
      </c>
      <c r="Q252" s="13" t="str">
        <f t="shared" si="28"/>
        <v>C</v>
      </c>
      <c r="R252" s="13">
        <f t="shared" si="29"/>
        <v>2</v>
      </c>
      <c r="S252" s="13" t="str">
        <f t="shared" si="30"/>
        <v>AVERAGE</v>
      </c>
      <c r="T252" s="13"/>
      <c r="U252" s="14" t="str">
        <f t="shared" si="31"/>
        <v>NO</v>
      </c>
    </row>
    <row r="253" spans="1:21" x14ac:dyDescent="0.3">
      <c r="A253" s="15" t="str">
        <f t="shared" si="24"/>
        <v>ST252</v>
      </c>
      <c r="B253" s="16" t="s">
        <v>13</v>
      </c>
      <c r="C253" s="16">
        <v>24</v>
      </c>
      <c r="D253" s="16" t="s">
        <v>17</v>
      </c>
      <c r="E253" s="16">
        <v>8</v>
      </c>
      <c r="F253" s="16">
        <f t="shared" ca="1" si="25"/>
        <v>88</v>
      </c>
      <c r="G253" s="16">
        <v>5.2</v>
      </c>
      <c r="H253" s="16">
        <v>81</v>
      </c>
      <c r="I253" s="16">
        <v>23</v>
      </c>
      <c r="J253" s="16">
        <v>83</v>
      </c>
      <c r="K253" s="16">
        <v>34</v>
      </c>
      <c r="L253" s="16">
        <v>66</v>
      </c>
      <c r="M253" s="16">
        <v>87</v>
      </c>
      <c r="N253" s="16">
        <v>71</v>
      </c>
      <c r="O253" s="16">
        <f t="shared" si="26"/>
        <v>68.2</v>
      </c>
      <c r="P253" s="16" t="str">
        <f t="shared" si="27"/>
        <v>Fail</v>
      </c>
      <c r="Q253" s="16" t="str">
        <f t="shared" si="28"/>
        <v>B</v>
      </c>
      <c r="R253" s="16">
        <f t="shared" si="29"/>
        <v>1</v>
      </c>
      <c r="S253" s="16" t="str">
        <f t="shared" si="30"/>
        <v>GOOD</v>
      </c>
      <c r="T253" s="16"/>
      <c r="U253" s="17" t="str">
        <f t="shared" si="31"/>
        <v>NO</v>
      </c>
    </row>
    <row r="254" spans="1:21" x14ac:dyDescent="0.3">
      <c r="A254" s="12" t="str">
        <f t="shared" si="24"/>
        <v>ST253</v>
      </c>
      <c r="B254" s="13" t="s">
        <v>15</v>
      </c>
      <c r="C254" s="13">
        <v>24</v>
      </c>
      <c r="D254" s="13" t="s">
        <v>16</v>
      </c>
      <c r="E254" s="13">
        <v>7</v>
      </c>
      <c r="F254" s="13">
        <f t="shared" ca="1" si="25"/>
        <v>74</v>
      </c>
      <c r="G254" s="13">
        <v>1.5</v>
      </c>
      <c r="H254" s="13">
        <v>56</v>
      </c>
      <c r="I254" s="13">
        <v>26</v>
      </c>
      <c r="J254" s="13">
        <v>62</v>
      </c>
      <c r="K254" s="13">
        <v>25</v>
      </c>
      <c r="L254" s="13">
        <v>91</v>
      </c>
      <c r="M254" s="13">
        <v>94</v>
      </c>
      <c r="N254" s="13">
        <v>48</v>
      </c>
      <c r="O254" s="13">
        <f t="shared" si="26"/>
        <v>64</v>
      </c>
      <c r="P254" s="13" t="str">
        <f t="shared" si="27"/>
        <v>Fail</v>
      </c>
      <c r="Q254" s="13" t="str">
        <f t="shared" si="28"/>
        <v>B</v>
      </c>
      <c r="R254" s="13">
        <f t="shared" si="29"/>
        <v>1</v>
      </c>
      <c r="S254" s="13" t="str">
        <f t="shared" si="30"/>
        <v>GOOD</v>
      </c>
      <c r="T254" s="13"/>
      <c r="U254" s="14" t="str">
        <f t="shared" si="31"/>
        <v>NO</v>
      </c>
    </row>
    <row r="255" spans="1:21" x14ac:dyDescent="0.3">
      <c r="A255" s="15" t="str">
        <f t="shared" si="24"/>
        <v>ST254</v>
      </c>
      <c r="B255" s="16" t="s">
        <v>13</v>
      </c>
      <c r="C255" s="16">
        <v>21</v>
      </c>
      <c r="D255" s="16" t="s">
        <v>18</v>
      </c>
      <c r="E255" s="16">
        <v>7</v>
      </c>
      <c r="F255" s="16">
        <f t="shared" ca="1" si="25"/>
        <v>75</v>
      </c>
      <c r="G255" s="16">
        <v>1.7</v>
      </c>
      <c r="H255" s="16">
        <v>94</v>
      </c>
      <c r="I255" s="16">
        <v>39</v>
      </c>
      <c r="J255" s="16">
        <v>76</v>
      </c>
      <c r="K255" s="16">
        <v>27</v>
      </c>
      <c r="L255" s="16">
        <v>60</v>
      </c>
      <c r="M255" s="16">
        <v>91</v>
      </c>
      <c r="N255" s="16">
        <v>96</v>
      </c>
      <c r="O255" s="16">
        <f t="shared" si="26"/>
        <v>70</v>
      </c>
      <c r="P255" s="16" t="str">
        <f t="shared" si="27"/>
        <v>Fail</v>
      </c>
      <c r="Q255" s="16" t="str">
        <f t="shared" si="28"/>
        <v>B</v>
      </c>
      <c r="R255" s="16">
        <f t="shared" si="29"/>
        <v>1</v>
      </c>
      <c r="S255" s="16" t="str">
        <f t="shared" si="30"/>
        <v>GOOD</v>
      </c>
      <c r="T255" s="16"/>
      <c r="U255" s="17" t="str">
        <f t="shared" si="31"/>
        <v>NO</v>
      </c>
    </row>
    <row r="256" spans="1:21" x14ac:dyDescent="0.3">
      <c r="A256" s="12" t="str">
        <f t="shared" si="24"/>
        <v>ST255</v>
      </c>
      <c r="B256" s="13" t="s">
        <v>15</v>
      </c>
      <c r="C256" s="13">
        <v>22</v>
      </c>
      <c r="D256" s="13" t="s">
        <v>18</v>
      </c>
      <c r="E256" s="13">
        <v>7</v>
      </c>
      <c r="F256" s="13">
        <f t="shared" ca="1" si="25"/>
        <v>83</v>
      </c>
      <c r="G256" s="13">
        <v>1.3</v>
      </c>
      <c r="H256" s="13">
        <v>96</v>
      </c>
      <c r="I256" s="13">
        <v>45</v>
      </c>
      <c r="J256" s="13">
        <v>20</v>
      </c>
      <c r="K256" s="13">
        <v>21</v>
      </c>
      <c r="L256" s="13">
        <v>92</v>
      </c>
      <c r="M256" s="13">
        <v>83</v>
      </c>
      <c r="N256" s="13">
        <v>48</v>
      </c>
      <c r="O256" s="13">
        <f t="shared" si="26"/>
        <v>52.800000000000004</v>
      </c>
      <c r="P256" s="13" t="str">
        <f t="shared" si="27"/>
        <v>Fail</v>
      </c>
      <c r="Q256" s="13" t="str">
        <f t="shared" si="28"/>
        <v>C</v>
      </c>
      <c r="R256" s="13">
        <f t="shared" si="29"/>
        <v>2</v>
      </c>
      <c r="S256" s="13" t="str">
        <f t="shared" si="30"/>
        <v>AVERAGE</v>
      </c>
      <c r="T256" s="13"/>
      <c r="U256" s="14" t="str">
        <f t="shared" si="31"/>
        <v>NO</v>
      </c>
    </row>
    <row r="257" spans="1:21" x14ac:dyDescent="0.3">
      <c r="A257" s="15" t="str">
        <f t="shared" si="24"/>
        <v>ST256</v>
      </c>
      <c r="B257" s="16" t="s">
        <v>13</v>
      </c>
      <c r="C257" s="16">
        <v>22</v>
      </c>
      <c r="D257" s="16" t="s">
        <v>14</v>
      </c>
      <c r="E257" s="16">
        <v>7</v>
      </c>
      <c r="F257" s="16">
        <f t="shared" ca="1" si="25"/>
        <v>79</v>
      </c>
      <c r="G257" s="16">
        <v>1.1000000000000001</v>
      </c>
      <c r="H257" s="16">
        <v>83</v>
      </c>
      <c r="I257" s="16">
        <v>24</v>
      </c>
      <c r="J257" s="16">
        <v>68</v>
      </c>
      <c r="K257" s="16">
        <v>62</v>
      </c>
      <c r="L257" s="16">
        <v>67</v>
      </c>
      <c r="M257" s="16">
        <v>62</v>
      </c>
      <c r="N257" s="16">
        <v>66</v>
      </c>
      <c r="O257" s="16">
        <f t="shared" si="26"/>
        <v>65</v>
      </c>
      <c r="P257" s="16" t="str">
        <f t="shared" si="27"/>
        <v>Pass</v>
      </c>
      <c r="Q257" s="16" t="str">
        <f t="shared" si="28"/>
        <v>B</v>
      </c>
      <c r="R257" s="16">
        <f t="shared" si="29"/>
        <v>0</v>
      </c>
      <c r="S257" s="16" t="str">
        <f t="shared" si="30"/>
        <v>GOOD</v>
      </c>
      <c r="T257" s="16"/>
      <c r="U257" s="17" t="str">
        <f t="shared" si="31"/>
        <v>YES</v>
      </c>
    </row>
    <row r="258" spans="1:21" x14ac:dyDescent="0.3">
      <c r="A258" s="12" t="str">
        <f t="shared" si="24"/>
        <v>ST257</v>
      </c>
      <c r="B258" s="13" t="s">
        <v>15</v>
      </c>
      <c r="C258" s="13">
        <v>23</v>
      </c>
      <c r="D258" s="13" t="s">
        <v>17</v>
      </c>
      <c r="E258" s="13">
        <v>7</v>
      </c>
      <c r="F258" s="13">
        <f t="shared" ca="1" si="25"/>
        <v>23</v>
      </c>
      <c r="G258" s="13">
        <v>5.0999999999999996</v>
      </c>
      <c r="H258" s="13">
        <v>50</v>
      </c>
      <c r="I258" s="13">
        <v>44</v>
      </c>
      <c r="J258" s="13">
        <v>81</v>
      </c>
      <c r="K258" s="13">
        <v>81</v>
      </c>
      <c r="L258" s="13">
        <v>55</v>
      </c>
      <c r="M258" s="13">
        <v>78</v>
      </c>
      <c r="N258" s="13">
        <v>35</v>
      </c>
      <c r="O258" s="13">
        <f t="shared" si="26"/>
        <v>66</v>
      </c>
      <c r="P258" s="13" t="str">
        <f t="shared" si="27"/>
        <v>Fail</v>
      </c>
      <c r="Q258" s="13" t="str">
        <f t="shared" si="28"/>
        <v>B</v>
      </c>
      <c r="R258" s="13">
        <f t="shared" si="29"/>
        <v>1</v>
      </c>
      <c r="S258" s="13" t="str">
        <f t="shared" si="30"/>
        <v>GOOD</v>
      </c>
      <c r="T258" s="13"/>
      <c r="U258" s="14" t="str">
        <f t="shared" si="31"/>
        <v>NO</v>
      </c>
    </row>
    <row r="259" spans="1:21" x14ac:dyDescent="0.3">
      <c r="A259" s="15" t="str">
        <f t="shared" ref="A259:A300" si="32">"ST"&amp;TEXT(ROW()-1,"000")</f>
        <v>ST258</v>
      </c>
      <c r="B259" s="16" t="s">
        <v>15</v>
      </c>
      <c r="C259" s="16">
        <v>23</v>
      </c>
      <c r="D259" s="16" t="s">
        <v>14</v>
      </c>
      <c r="E259" s="16">
        <v>8</v>
      </c>
      <c r="F259" s="16">
        <f t="shared" ref="F259:F301" ca="1" si="33">IF(H259&gt;70,RANDBETWEEN(75,95),IF(H259&gt;50,RANDBETWEEN(40,75),RANDBETWEEN(20,40)))</f>
        <v>86</v>
      </c>
      <c r="G259" s="16">
        <v>5.3</v>
      </c>
      <c r="H259" s="16">
        <v>89</v>
      </c>
      <c r="I259" s="16">
        <v>47</v>
      </c>
      <c r="J259" s="16">
        <v>63</v>
      </c>
      <c r="K259" s="16">
        <v>95</v>
      </c>
      <c r="L259" s="16">
        <v>94</v>
      </c>
      <c r="M259" s="16">
        <v>79</v>
      </c>
      <c r="N259" s="16">
        <v>89</v>
      </c>
      <c r="O259" s="16">
        <f t="shared" ref="O259:O301" si="34">SUM(J259:N259)/500*100</f>
        <v>84</v>
      </c>
      <c r="P259" s="16" t="str">
        <f t="shared" ref="P259:P301" si="35">IF(AND(J259&gt;=40,K259&gt;=40,L259&gt;=40,M259&gt;=40,N259&gt;=40),"Pass","Fail")</f>
        <v>Pass</v>
      </c>
      <c r="Q259" s="16" t="str">
        <f t="shared" ref="Q259:Q301" si="36">IF(O259&gt;90,"O",IF(O259&gt;80,"A",IF(O259&gt;60,"B",IF(O259&gt;50,"C","D"))))</f>
        <v>A</v>
      </c>
      <c r="R259" s="16">
        <f t="shared" ref="R259:R301" si="37">COUNTIF(J259:N259,"&lt;40")</f>
        <v>0</v>
      </c>
      <c r="S259" s="16" t="str">
        <f t="shared" ref="S259:S301" si="38">IF(O259&gt;=80,"EXCELLENT",IF(O259&gt;=60,"GOOD",IF(O259&gt;=40,"AVERAGE",IF(O259&lt;40,"POOR"))))</f>
        <v>EXCELLENT</v>
      </c>
      <c r="T259" s="16"/>
      <c r="U259" s="17" t="str">
        <f t="shared" ref="U259:U301" si="39">IF(R259=0,"YES", "NO")</f>
        <v>YES</v>
      </c>
    </row>
    <row r="260" spans="1:21" x14ac:dyDescent="0.3">
      <c r="A260" s="12" t="str">
        <f t="shared" si="32"/>
        <v>ST259</v>
      </c>
      <c r="B260" s="13" t="s">
        <v>15</v>
      </c>
      <c r="C260" s="13">
        <v>24</v>
      </c>
      <c r="D260" s="13" t="s">
        <v>18</v>
      </c>
      <c r="E260" s="13">
        <v>8</v>
      </c>
      <c r="F260" s="13">
        <f t="shared" ca="1" si="33"/>
        <v>90</v>
      </c>
      <c r="G260" s="13">
        <v>4.3</v>
      </c>
      <c r="H260" s="13">
        <v>91</v>
      </c>
      <c r="I260" s="13">
        <v>34</v>
      </c>
      <c r="J260" s="13">
        <v>19</v>
      </c>
      <c r="K260" s="13">
        <v>82</v>
      </c>
      <c r="L260" s="13">
        <v>57</v>
      </c>
      <c r="M260" s="13">
        <v>71</v>
      </c>
      <c r="N260" s="13">
        <v>93</v>
      </c>
      <c r="O260" s="13">
        <f t="shared" si="34"/>
        <v>64.400000000000006</v>
      </c>
      <c r="P260" s="13" t="str">
        <f t="shared" si="35"/>
        <v>Fail</v>
      </c>
      <c r="Q260" s="13" t="str">
        <f t="shared" si="36"/>
        <v>B</v>
      </c>
      <c r="R260" s="13">
        <f t="shared" si="37"/>
        <v>1</v>
      </c>
      <c r="S260" s="13" t="str">
        <f t="shared" si="38"/>
        <v>GOOD</v>
      </c>
      <c r="T260" s="13"/>
      <c r="U260" s="14" t="str">
        <f t="shared" si="39"/>
        <v>NO</v>
      </c>
    </row>
    <row r="261" spans="1:21" x14ac:dyDescent="0.3">
      <c r="A261" s="15" t="str">
        <f t="shared" si="32"/>
        <v>ST260</v>
      </c>
      <c r="B261" s="16" t="s">
        <v>15</v>
      </c>
      <c r="C261" s="16">
        <v>22</v>
      </c>
      <c r="D261" s="16" t="s">
        <v>18</v>
      </c>
      <c r="E261" s="16">
        <v>7</v>
      </c>
      <c r="F261" s="16">
        <f t="shared" ca="1" si="33"/>
        <v>88</v>
      </c>
      <c r="G261" s="16">
        <v>3.7</v>
      </c>
      <c r="H261" s="16">
        <v>99</v>
      </c>
      <c r="I261" s="16">
        <v>20</v>
      </c>
      <c r="J261" s="16">
        <v>20</v>
      </c>
      <c r="K261" s="16">
        <v>59</v>
      </c>
      <c r="L261" s="16">
        <v>62</v>
      </c>
      <c r="M261" s="16">
        <v>94</v>
      </c>
      <c r="N261" s="16">
        <v>57</v>
      </c>
      <c r="O261" s="16">
        <f t="shared" si="34"/>
        <v>58.4</v>
      </c>
      <c r="P261" s="16" t="str">
        <f t="shared" si="35"/>
        <v>Fail</v>
      </c>
      <c r="Q261" s="16" t="str">
        <f t="shared" si="36"/>
        <v>C</v>
      </c>
      <c r="R261" s="16">
        <f t="shared" si="37"/>
        <v>1</v>
      </c>
      <c r="S261" s="16" t="str">
        <f t="shared" si="38"/>
        <v>AVERAGE</v>
      </c>
      <c r="T261" s="16"/>
      <c r="U261" s="17" t="str">
        <f t="shared" si="39"/>
        <v>NO</v>
      </c>
    </row>
    <row r="262" spans="1:21" x14ac:dyDescent="0.3">
      <c r="A262" s="12" t="str">
        <f t="shared" si="32"/>
        <v>ST261</v>
      </c>
      <c r="B262" s="13" t="s">
        <v>13</v>
      </c>
      <c r="C262" s="13">
        <v>22</v>
      </c>
      <c r="D262" s="13" t="s">
        <v>14</v>
      </c>
      <c r="E262" s="13">
        <v>7</v>
      </c>
      <c r="F262" s="13">
        <f t="shared" ca="1" si="33"/>
        <v>77</v>
      </c>
      <c r="G262" s="13">
        <v>4.9000000000000004</v>
      </c>
      <c r="H262" s="13">
        <v>75</v>
      </c>
      <c r="I262" s="13">
        <v>33</v>
      </c>
      <c r="J262" s="13">
        <v>30</v>
      </c>
      <c r="K262" s="13">
        <v>15</v>
      </c>
      <c r="L262" s="13">
        <v>40</v>
      </c>
      <c r="M262" s="13">
        <v>68</v>
      </c>
      <c r="N262" s="13">
        <v>74</v>
      </c>
      <c r="O262" s="13">
        <f t="shared" si="34"/>
        <v>45.4</v>
      </c>
      <c r="P262" s="13" t="str">
        <f t="shared" si="35"/>
        <v>Fail</v>
      </c>
      <c r="Q262" s="13" t="str">
        <f t="shared" si="36"/>
        <v>D</v>
      </c>
      <c r="R262" s="13">
        <f t="shared" si="37"/>
        <v>2</v>
      </c>
      <c r="S262" s="13" t="str">
        <f t="shared" si="38"/>
        <v>AVERAGE</v>
      </c>
      <c r="T262" s="13"/>
      <c r="U262" s="14" t="str">
        <f t="shared" si="39"/>
        <v>NO</v>
      </c>
    </row>
    <row r="263" spans="1:21" x14ac:dyDescent="0.3">
      <c r="A263" s="15" t="str">
        <f t="shared" si="32"/>
        <v>ST262</v>
      </c>
      <c r="B263" s="16" t="s">
        <v>13</v>
      </c>
      <c r="C263" s="16">
        <v>23</v>
      </c>
      <c r="D263" s="16" t="s">
        <v>14</v>
      </c>
      <c r="E263" s="16">
        <v>8</v>
      </c>
      <c r="F263" s="16">
        <f t="shared" ca="1" si="33"/>
        <v>83</v>
      </c>
      <c r="G263" s="16">
        <v>5.2</v>
      </c>
      <c r="H263" s="16">
        <v>78</v>
      </c>
      <c r="I263" s="16">
        <v>21</v>
      </c>
      <c r="J263" s="16">
        <v>33</v>
      </c>
      <c r="K263" s="16">
        <v>57</v>
      </c>
      <c r="L263" s="16">
        <v>43</v>
      </c>
      <c r="M263" s="16">
        <v>84</v>
      </c>
      <c r="N263" s="16">
        <v>63</v>
      </c>
      <c r="O263" s="16">
        <f t="shared" si="34"/>
        <v>56.000000000000007</v>
      </c>
      <c r="P263" s="16" t="str">
        <f t="shared" si="35"/>
        <v>Fail</v>
      </c>
      <c r="Q263" s="16" t="str">
        <f t="shared" si="36"/>
        <v>C</v>
      </c>
      <c r="R263" s="16">
        <f t="shared" si="37"/>
        <v>1</v>
      </c>
      <c r="S263" s="16" t="str">
        <f t="shared" si="38"/>
        <v>AVERAGE</v>
      </c>
      <c r="T263" s="16"/>
      <c r="U263" s="17" t="str">
        <f t="shared" si="39"/>
        <v>NO</v>
      </c>
    </row>
    <row r="264" spans="1:21" x14ac:dyDescent="0.3">
      <c r="A264" s="12" t="str">
        <f t="shared" si="32"/>
        <v>ST263</v>
      </c>
      <c r="B264" s="13" t="s">
        <v>13</v>
      </c>
      <c r="C264" s="13">
        <v>23</v>
      </c>
      <c r="D264" s="13" t="s">
        <v>17</v>
      </c>
      <c r="E264" s="13">
        <v>7</v>
      </c>
      <c r="F264" s="13">
        <f t="shared" ca="1" si="33"/>
        <v>51</v>
      </c>
      <c r="G264" s="13">
        <v>2.2000000000000002</v>
      </c>
      <c r="H264" s="13">
        <v>57</v>
      </c>
      <c r="I264" s="13">
        <v>44</v>
      </c>
      <c r="J264" s="13">
        <v>20</v>
      </c>
      <c r="K264" s="13">
        <v>48</v>
      </c>
      <c r="L264" s="13">
        <v>42</v>
      </c>
      <c r="M264" s="13">
        <v>50</v>
      </c>
      <c r="N264" s="13">
        <v>89</v>
      </c>
      <c r="O264" s="13">
        <f t="shared" si="34"/>
        <v>49.8</v>
      </c>
      <c r="P264" s="13" t="str">
        <f t="shared" si="35"/>
        <v>Fail</v>
      </c>
      <c r="Q264" s="13" t="str">
        <f t="shared" si="36"/>
        <v>D</v>
      </c>
      <c r="R264" s="13">
        <f t="shared" si="37"/>
        <v>1</v>
      </c>
      <c r="S264" s="13" t="str">
        <f t="shared" si="38"/>
        <v>AVERAGE</v>
      </c>
      <c r="T264" s="13"/>
      <c r="U264" s="14" t="str">
        <f t="shared" si="39"/>
        <v>NO</v>
      </c>
    </row>
    <row r="265" spans="1:21" x14ac:dyDescent="0.3">
      <c r="A265" s="15" t="str">
        <f t="shared" si="32"/>
        <v>ST264</v>
      </c>
      <c r="B265" s="16" t="s">
        <v>13</v>
      </c>
      <c r="C265" s="16">
        <v>24</v>
      </c>
      <c r="D265" s="16" t="s">
        <v>16</v>
      </c>
      <c r="E265" s="16">
        <v>7</v>
      </c>
      <c r="F265" s="16">
        <f t="shared" ca="1" si="33"/>
        <v>75</v>
      </c>
      <c r="G265" s="16">
        <v>2.5</v>
      </c>
      <c r="H265" s="16">
        <v>67</v>
      </c>
      <c r="I265" s="16">
        <v>45</v>
      </c>
      <c r="J265" s="16">
        <v>24</v>
      </c>
      <c r="K265" s="16">
        <v>79</v>
      </c>
      <c r="L265" s="16">
        <v>25</v>
      </c>
      <c r="M265" s="16">
        <v>52</v>
      </c>
      <c r="N265" s="16">
        <v>51</v>
      </c>
      <c r="O265" s="16">
        <f t="shared" si="34"/>
        <v>46.2</v>
      </c>
      <c r="P265" s="16" t="str">
        <f t="shared" si="35"/>
        <v>Fail</v>
      </c>
      <c r="Q265" s="16" t="str">
        <f t="shared" si="36"/>
        <v>D</v>
      </c>
      <c r="R265" s="16">
        <f t="shared" si="37"/>
        <v>2</v>
      </c>
      <c r="S265" s="16" t="str">
        <f t="shared" si="38"/>
        <v>AVERAGE</v>
      </c>
      <c r="T265" s="16"/>
      <c r="U265" s="17" t="str">
        <f t="shared" si="39"/>
        <v>NO</v>
      </c>
    </row>
    <row r="266" spans="1:21" x14ac:dyDescent="0.3">
      <c r="A266" s="12" t="str">
        <f t="shared" si="32"/>
        <v>ST265</v>
      </c>
      <c r="B266" s="13" t="s">
        <v>15</v>
      </c>
      <c r="C266" s="13">
        <v>22</v>
      </c>
      <c r="D266" s="13" t="s">
        <v>16</v>
      </c>
      <c r="E266" s="13">
        <v>8</v>
      </c>
      <c r="F266" s="13">
        <f t="shared" ca="1" si="33"/>
        <v>76</v>
      </c>
      <c r="G266" s="13">
        <v>4.5999999999999996</v>
      </c>
      <c r="H266" s="13">
        <v>87</v>
      </c>
      <c r="I266" s="13">
        <v>21</v>
      </c>
      <c r="J266" s="13">
        <v>45</v>
      </c>
      <c r="K266" s="13">
        <v>29</v>
      </c>
      <c r="L266" s="13">
        <v>29</v>
      </c>
      <c r="M266" s="13">
        <v>82</v>
      </c>
      <c r="N266" s="13">
        <v>33</v>
      </c>
      <c r="O266" s="13">
        <f t="shared" si="34"/>
        <v>43.6</v>
      </c>
      <c r="P266" s="13" t="str">
        <f t="shared" si="35"/>
        <v>Fail</v>
      </c>
      <c r="Q266" s="13" t="str">
        <f t="shared" si="36"/>
        <v>D</v>
      </c>
      <c r="R266" s="13">
        <f t="shared" si="37"/>
        <v>3</v>
      </c>
      <c r="S266" s="13" t="str">
        <f t="shared" si="38"/>
        <v>AVERAGE</v>
      </c>
      <c r="T266" s="13"/>
      <c r="U266" s="14" t="str">
        <f t="shared" si="39"/>
        <v>NO</v>
      </c>
    </row>
    <row r="267" spans="1:21" x14ac:dyDescent="0.3">
      <c r="A267" s="15" t="str">
        <f t="shared" si="32"/>
        <v>ST266</v>
      </c>
      <c r="B267" s="16" t="s">
        <v>13</v>
      </c>
      <c r="C267" s="16">
        <v>24</v>
      </c>
      <c r="D267" s="16" t="s">
        <v>14</v>
      </c>
      <c r="E267" s="16">
        <v>7</v>
      </c>
      <c r="F267" s="16">
        <f t="shared" ca="1" si="33"/>
        <v>80</v>
      </c>
      <c r="G267" s="16">
        <v>1.4</v>
      </c>
      <c r="H267" s="16">
        <v>94</v>
      </c>
      <c r="I267" s="16">
        <v>29</v>
      </c>
      <c r="J267" s="16">
        <v>79</v>
      </c>
      <c r="K267" s="16">
        <v>33</v>
      </c>
      <c r="L267" s="16">
        <v>47</v>
      </c>
      <c r="M267" s="16">
        <v>64</v>
      </c>
      <c r="N267" s="16">
        <v>58</v>
      </c>
      <c r="O267" s="16">
        <f t="shared" si="34"/>
        <v>56.2</v>
      </c>
      <c r="P267" s="16" t="str">
        <f t="shared" si="35"/>
        <v>Fail</v>
      </c>
      <c r="Q267" s="16" t="str">
        <f t="shared" si="36"/>
        <v>C</v>
      </c>
      <c r="R267" s="16">
        <f t="shared" si="37"/>
        <v>1</v>
      </c>
      <c r="S267" s="16" t="str">
        <f t="shared" si="38"/>
        <v>AVERAGE</v>
      </c>
      <c r="T267" s="16"/>
      <c r="U267" s="17" t="str">
        <f t="shared" si="39"/>
        <v>NO</v>
      </c>
    </row>
    <row r="268" spans="1:21" x14ac:dyDescent="0.3">
      <c r="A268" s="12" t="str">
        <f t="shared" si="32"/>
        <v>ST267</v>
      </c>
      <c r="B268" s="13" t="s">
        <v>15</v>
      </c>
      <c r="C268" s="13">
        <v>22</v>
      </c>
      <c r="D268" s="13" t="s">
        <v>14</v>
      </c>
      <c r="E268" s="13">
        <v>8</v>
      </c>
      <c r="F268" s="13">
        <f t="shared" ca="1" si="33"/>
        <v>58</v>
      </c>
      <c r="G268" s="13">
        <v>3.7</v>
      </c>
      <c r="H268" s="13">
        <v>61</v>
      </c>
      <c r="I268" s="13">
        <v>40</v>
      </c>
      <c r="J268" s="13">
        <v>40</v>
      </c>
      <c r="K268" s="13">
        <v>28</v>
      </c>
      <c r="L268" s="13">
        <v>59</v>
      </c>
      <c r="M268" s="13">
        <v>60</v>
      </c>
      <c r="N268" s="13">
        <v>50</v>
      </c>
      <c r="O268" s="13">
        <f t="shared" si="34"/>
        <v>47.4</v>
      </c>
      <c r="P268" s="13" t="str">
        <f t="shared" si="35"/>
        <v>Fail</v>
      </c>
      <c r="Q268" s="13" t="str">
        <f t="shared" si="36"/>
        <v>D</v>
      </c>
      <c r="R268" s="13">
        <f t="shared" si="37"/>
        <v>1</v>
      </c>
      <c r="S268" s="13" t="str">
        <f t="shared" si="38"/>
        <v>AVERAGE</v>
      </c>
      <c r="T268" s="13"/>
      <c r="U268" s="14" t="str">
        <f t="shared" si="39"/>
        <v>NO</v>
      </c>
    </row>
    <row r="269" spans="1:21" x14ac:dyDescent="0.3">
      <c r="A269" s="15" t="str">
        <f t="shared" si="32"/>
        <v>ST268</v>
      </c>
      <c r="B269" s="16" t="s">
        <v>13</v>
      </c>
      <c r="C269" s="16">
        <v>24</v>
      </c>
      <c r="D269" s="16" t="s">
        <v>17</v>
      </c>
      <c r="E269" s="16">
        <v>7</v>
      </c>
      <c r="F269" s="16">
        <f t="shared" ca="1" si="33"/>
        <v>69</v>
      </c>
      <c r="G269" s="16">
        <v>4.4000000000000004</v>
      </c>
      <c r="H269" s="16">
        <v>56</v>
      </c>
      <c r="I269" s="16">
        <v>50</v>
      </c>
      <c r="J269" s="16">
        <v>82</v>
      </c>
      <c r="K269" s="16">
        <v>60</v>
      </c>
      <c r="L269" s="16">
        <v>92</v>
      </c>
      <c r="M269" s="16">
        <v>51</v>
      </c>
      <c r="N269" s="16">
        <v>66</v>
      </c>
      <c r="O269" s="16">
        <f t="shared" si="34"/>
        <v>70.199999999999989</v>
      </c>
      <c r="P269" s="16" t="str">
        <f t="shared" si="35"/>
        <v>Pass</v>
      </c>
      <c r="Q269" s="16" t="str">
        <f t="shared" si="36"/>
        <v>B</v>
      </c>
      <c r="R269" s="16">
        <f t="shared" si="37"/>
        <v>0</v>
      </c>
      <c r="S269" s="16" t="str">
        <f t="shared" si="38"/>
        <v>GOOD</v>
      </c>
      <c r="T269" s="16"/>
      <c r="U269" s="17" t="str">
        <f t="shared" si="39"/>
        <v>YES</v>
      </c>
    </row>
    <row r="270" spans="1:21" x14ac:dyDescent="0.3">
      <c r="A270" s="12" t="str">
        <f t="shared" si="32"/>
        <v>ST269</v>
      </c>
      <c r="B270" s="13" t="s">
        <v>13</v>
      </c>
      <c r="C270" s="13">
        <v>23</v>
      </c>
      <c r="D270" s="13" t="s">
        <v>16</v>
      </c>
      <c r="E270" s="13">
        <v>8</v>
      </c>
      <c r="F270" s="13">
        <f t="shared" ca="1" si="33"/>
        <v>56</v>
      </c>
      <c r="G270" s="13">
        <v>1.8</v>
      </c>
      <c r="H270" s="13">
        <v>65</v>
      </c>
      <c r="I270" s="13">
        <v>41</v>
      </c>
      <c r="J270" s="13">
        <v>79</v>
      </c>
      <c r="K270" s="13">
        <v>91</v>
      </c>
      <c r="L270" s="13">
        <v>28</v>
      </c>
      <c r="M270" s="13">
        <v>62</v>
      </c>
      <c r="N270" s="13">
        <v>76</v>
      </c>
      <c r="O270" s="13">
        <f t="shared" si="34"/>
        <v>67.2</v>
      </c>
      <c r="P270" s="13" t="str">
        <f t="shared" si="35"/>
        <v>Fail</v>
      </c>
      <c r="Q270" s="13" t="str">
        <f t="shared" si="36"/>
        <v>B</v>
      </c>
      <c r="R270" s="13">
        <f t="shared" si="37"/>
        <v>1</v>
      </c>
      <c r="S270" s="13" t="str">
        <f t="shared" si="38"/>
        <v>GOOD</v>
      </c>
      <c r="T270" s="13"/>
      <c r="U270" s="14" t="str">
        <f t="shared" si="39"/>
        <v>NO</v>
      </c>
    </row>
    <row r="271" spans="1:21" x14ac:dyDescent="0.3">
      <c r="A271" s="15" t="str">
        <f t="shared" si="32"/>
        <v>ST270</v>
      </c>
      <c r="B271" s="16" t="s">
        <v>13</v>
      </c>
      <c r="C271" s="16">
        <v>23</v>
      </c>
      <c r="D271" s="16" t="s">
        <v>14</v>
      </c>
      <c r="E271" s="16">
        <v>7</v>
      </c>
      <c r="F271" s="16">
        <f t="shared" ca="1" si="33"/>
        <v>66</v>
      </c>
      <c r="G271" s="16">
        <v>2.6</v>
      </c>
      <c r="H271" s="16">
        <v>62</v>
      </c>
      <c r="I271" s="16">
        <v>26</v>
      </c>
      <c r="J271" s="16">
        <v>38</v>
      </c>
      <c r="K271" s="16">
        <v>22</v>
      </c>
      <c r="L271" s="16">
        <v>36</v>
      </c>
      <c r="M271" s="16">
        <v>71</v>
      </c>
      <c r="N271" s="16">
        <v>39</v>
      </c>
      <c r="O271" s="16">
        <f t="shared" si="34"/>
        <v>41.199999999999996</v>
      </c>
      <c r="P271" s="16" t="str">
        <f t="shared" si="35"/>
        <v>Fail</v>
      </c>
      <c r="Q271" s="16" t="str">
        <f t="shared" si="36"/>
        <v>D</v>
      </c>
      <c r="R271" s="16">
        <f t="shared" si="37"/>
        <v>4</v>
      </c>
      <c r="S271" s="16" t="str">
        <f t="shared" si="38"/>
        <v>AVERAGE</v>
      </c>
      <c r="T271" s="16"/>
      <c r="U271" s="17" t="str">
        <f t="shared" si="39"/>
        <v>NO</v>
      </c>
    </row>
    <row r="272" spans="1:21" x14ac:dyDescent="0.3">
      <c r="A272" s="12" t="str">
        <f t="shared" si="32"/>
        <v>ST271</v>
      </c>
      <c r="B272" s="13" t="s">
        <v>15</v>
      </c>
      <c r="C272" s="13">
        <v>24</v>
      </c>
      <c r="D272" s="13" t="s">
        <v>18</v>
      </c>
      <c r="E272" s="13">
        <v>8</v>
      </c>
      <c r="F272" s="13">
        <f t="shared" ca="1" si="33"/>
        <v>78</v>
      </c>
      <c r="G272" s="13">
        <v>1.9</v>
      </c>
      <c r="H272" s="13">
        <v>93</v>
      </c>
      <c r="I272" s="13">
        <v>23</v>
      </c>
      <c r="J272" s="13">
        <v>17</v>
      </c>
      <c r="K272" s="13">
        <v>32</v>
      </c>
      <c r="L272" s="13">
        <v>65</v>
      </c>
      <c r="M272" s="13">
        <v>89</v>
      </c>
      <c r="N272" s="13">
        <v>33</v>
      </c>
      <c r="O272" s="13">
        <f t="shared" si="34"/>
        <v>47.199999999999996</v>
      </c>
      <c r="P272" s="13" t="str">
        <f t="shared" si="35"/>
        <v>Fail</v>
      </c>
      <c r="Q272" s="13" t="str">
        <f t="shared" si="36"/>
        <v>D</v>
      </c>
      <c r="R272" s="13">
        <f t="shared" si="37"/>
        <v>3</v>
      </c>
      <c r="S272" s="13" t="str">
        <f t="shared" si="38"/>
        <v>AVERAGE</v>
      </c>
      <c r="T272" s="13"/>
      <c r="U272" s="14" t="str">
        <f t="shared" si="39"/>
        <v>NO</v>
      </c>
    </row>
    <row r="273" spans="1:21" x14ac:dyDescent="0.3">
      <c r="A273" s="15" t="str">
        <f t="shared" si="32"/>
        <v>ST272</v>
      </c>
      <c r="B273" s="16" t="s">
        <v>15</v>
      </c>
      <c r="C273" s="16">
        <v>23</v>
      </c>
      <c r="D273" s="16" t="s">
        <v>17</v>
      </c>
      <c r="E273" s="16">
        <v>8</v>
      </c>
      <c r="F273" s="16">
        <f t="shared" ca="1" si="33"/>
        <v>81</v>
      </c>
      <c r="G273" s="16">
        <v>5.8</v>
      </c>
      <c r="H273" s="16">
        <v>76</v>
      </c>
      <c r="I273" s="16">
        <v>31</v>
      </c>
      <c r="J273" s="16">
        <v>33</v>
      </c>
      <c r="K273" s="16">
        <v>56</v>
      </c>
      <c r="L273" s="16">
        <v>87</v>
      </c>
      <c r="M273" s="16">
        <v>72</v>
      </c>
      <c r="N273" s="16">
        <v>75</v>
      </c>
      <c r="O273" s="16">
        <f t="shared" si="34"/>
        <v>64.600000000000009</v>
      </c>
      <c r="P273" s="16" t="str">
        <f t="shared" si="35"/>
        <v>Fail</v>
      </c>
      <c r="Q273" s="16" t="str">
        <f t="shared" si="36"/>
        <v>B</v>
      </c>
      <c r="R273" s="16">
        <f t="shared" si="37"/>
        <v>1</v>
      </c>
      <c r="S273" s="16" t="str">
        <f t="shared" si="38"/>
        <v>GOOD</v>
      </c>
      <c r="T273" s="16"/>
      <c r="U273" s="17" t="str">
        <f t="shared" si="39"/>
        <v>NO</v>
      </c>
    </row>
    <row r="274" spans="1:21" x14ac:dyDescent="0.3">
      <c r="A274" s="12" t="str">
        <f t="shared" si="32"/>
        <v>ST273</v>
      </c>
      <c r="B274" s="13" t="s">
        <v>15</v>
      </c>
      <c r="C274" s="13">
        <v>24</v>
      </c>
      <c r="D274" s="13" t="s">
        <v>18</v>
      </c>
      <c r="E274" s="13">
        <v>7</v>
      </c>
      <c r="F274" s="13">
        <f t="shared" ca="1" si="33"/>
        <v>89</v>
      </c>
      <c r="G274" s="13">
        <v>5.2</v>
      </c>
      <c r="H274" s="13">
        <v>85</v>
      </c>
      <c r="I274" s="13">
        <v>49</v>
      </c>
      <c r="J274" s="13">
        <v>21</v>
      </c>
      <c r="K274" s="13">
        <v>29</v>
      </c>
      <c r="L274" s="13">
        <v>54</v>
      </c>
      <c r="M274" s="13">
        <v>50</v>
      </c>
      <c r="N274" s="13">
        <v>80</v>
      </c>
      <c r="O274" s="13">
        <f t="shared" si="34"/>
        <v>46.800000000000004</v>
      </c>
      <c r="P274" s="13" t="str">
        <f t="shared" si="35"/>
        <v>Fail</v>
      </c>
      <c r="Q274" s="13" t="str">
        <f t="shared" si="36"/>
        <v>D</v>
      </c>
      <c r="R274" s="13">
        <f t="shared" si="37"/>
        <v>2</v>
      </c>
      <c r="S274" s="13" t="str">
        <f t="shared" si="38"/>
        <v>AVERAGE</v>
      </c>
      <c r="T274" s="13"/>
      <c r="U274" s="14" t="str">
        <f t="shared" si="39"/>
        <v>NO</v>
      </c>
    </row>
    <row r="275" spans="1:21" x14ac:dyDescent="0.3">
      <c r="A275" s="15" t="str">
        <f t="shared" si="32"/>
        <v>ST274</v>
      </c>
      <c r="B275" s="16" t="s">
        <v>13</v>
      </c>
      <c r="C275" s="16">
        <v>21</v>
      </c>
      <c r="D275" s="16" t="s">
        <v>14</v>
      </c>
      <c r="E275" s="16">
        <v>7</v>
      </c>
      <c r="F275" s="16">
        <f t="shared" ca="1" si="33"/>
        <v>87</v>
      </c>
      <c r="G275" s="16">
        <v>3.9</v>
      </c>
      <c r="H275" s="16">
        <v>91</v>
      </c>
      <c r="I275" s="16">
        <v>36</v>
      </c>
      <c r="J275" s="16">
        <v>59</v>
      </c>
      <c r="K275" s="16">
        <v>92</v>
      </c>
      <c r="L275" s="16">
        <v>83</v>
      </c>
      <c r="M275" s="16">
        <v>75</v>
      </c>
      <c r="N275" s="16">
        <v>92</v>
      </c>
      <c r="O275" s="16">
        <f t="shared" si="34"/>
        <v>80.2</v>
      </c>
      <c r="P275" s="16" t="str">
        <f t="shared" si="35"/>
        <v>Pass</v>
      </c>
      <c r="Q275" s="16" t="str">
        <f t="shared" si="36"/>
        <v>A</v>
      </c>
      <c r="R275" s="16">
        <f t="shared" si="37"/>
        <v>0</v>
      </c>
      <c r="S275" s="16" t="str">
        <f t="shared" si="38"/>
        <v>EXCELLENT</v>
      </c>
      <c r="T275" s="16"/>
      <c r="U275" s="17" t="str">
        <f t="shared" si="39"/>
        <v>YES</v>
      </c>
    </row>
    <row r="276" spans="1:21" x14ac:dyDescent="0.3">
      <c r="A276" s="12" t="str">
        <f t="shared" si="32"/>
        <v>ST275</v>
      </c>
      <c r="B276" s="13" t="s">
        <v>15</v>
      </c>
      <c r="C276" s="13">
        <v>23</v>
      </c>
      <c r="D276" s="13" t="s">
        <v>16</v>
      </c>
      <c r="E276" s="13">
        <v>8</v>
      </c>
      <c r="F276" s="13">
        <f t="shared" ca="1" si="33"/>
        <v>84</v>
      </c>
      <c r="G276" s="13">
        <v>4</v>
      </c>
      <c r="H276" s="13">
        <v>89</v>
      </c>
      <c r="I276" s="13">
        <v>24</v>
      </c>
      <c r="J276" s="13">
        <v>71</v>
      </c>
      <c r="K276" s="13">
        <v>76</v>
      </c>
      <c r="L276" s="13">
        <v>97</v>
      </c>
      <c r="M276" s="13">
        <v>54</v>
      </c>
      <c r="N276" s="13">
        <v>44</v>
      </c>
      <c r="O276" s="13">
        <f t="shared" si="34"/>
        <v>68.400000000000006</v>
      </c>
      <c r="P276" s="13" t="str">
        <f t="shared" si="35"/>
        <v>Pass</v>
      </c>
      <c r="Q276" s="13" t="str">
        <f t="shared" si="36"/>
        <v>B</v>
      </c>
      <c r="R276" s="13">
        <f t="shared" si="37"/>
        <v>0</v>
      </c>
      <c r="S276" s="13" t="str">
        <f t="shared" si="38"/>
        <v>GOOD</v>
      </c>
      <c r="T276" s="13"/>
      <c r="U276" s="14" t="str">
        <f t="shared" si="39"/>
        <v>YES</v>
      </c>
    </row>
    <row r="277" spans="1:21" x14ac:dyDescent="0.3">
      <c r="A277" s="15" t="str">
        <f t="shared" si="32"/>
        <v>ST276</v>
      </c>
      <c r="B277" s="16" t="s">
        <v>13</v>
      </c>
      <c r="C277" s="16">
        <v>24</v>
      </c>
      <c r="D277" s="16" t="s">
        <v>17</v>
      </c>
      <c r="E277" s="16">
        <v>8</v>
      </c>
      <c r="F277" s="16">
        <f t="shared" ca="1" si="33"/>
        <v>60</v>
      </c>
      <c r="G277" s="16">
        <v>3.9</v>
      </c>
      <c r="H277" s="16">
        <v>64</v>
      </c>
      <c r="I277" s="16">
        <v>45</v>
      </c>
      <c r="J277" s="16">
        <v>88</v>
      </c>
      <c r="K277" s="16">
        <v>92</v>
      </c>
      <c r="L277" s="16">
        <v>53</v>
      </c>
      <c r="M277" s="16">
        <v>53</v>
      </c>
      <c r="N277" s="16">
        <v>55</v>
      </c>
      <c r="O277" s="16">
        <f t="shared" si="34"/>
        <v>68.2</v>
      </c>
      <c r="P277" s="16" t="str">
        <f t="shared" si="35"/>
        <v>Pass</v>
      </c>
      <c r="Q277" s="16" t="str">
        <f t="shared" si="36"/>
        <v>B</v>
      </c>
      <c r="R277" s="16">
        <f t="shared" si="37"/>
        <v>0</v>
      </c>
      <c r="S277" s="16" t="str">
        <f t="shared" si="38"/>
        <v>GOOD</v>
      </c>
      <c r="T277" s="16"/>
      <c r="U277" s="17" t="str">
        <f t="shared" si="39"/>
        <v>YES</v>
      </c>
    </row>
    <row r="278" spans="1:21" x14ac:dyDescent="0.3">
      <c r="A278" s="12" t="str">
        <f t="shared" si="32"/>
        <v>ST277</v>
      </c>
      <c r="B278" s="13" t="s">
        <v>15</v>
      </c>
      <c r="C278" s="13">
        <v>23</v>
      </c>
      <c r="D278" s="13" t="s">
        <v>17</v>
      </c>
      <c r="E278" s="13">
        <v>8</v>
      </c>
      <c r="F278" s="13">
        <f t="shared" ca="1" si="33"/>
        <v>91</v>
      </c>
      <c r="G278" s="13">
        <v>2.4</v>
      </c>
      <c r="H278" s="13">
        <v>100</v>
      </c>
      <c r="I278" s="13">
        <v>46</v>
      </c>
      <c r="J278" s="13">
        <v>36</v>
      </c>
      <c r="K278" s="13">
        <v>71</v>
      </c>
      <c r="L278" s="13">
        <v>48</v>
      </c>
      <c r="M278" s="13">
        <v>50</v>
      </c>
      <c r="N278" s="13">
        <v>92</v>
      </c>
      <c r="O278" s="13">
        <f t="shared" si="34"/>
        <v>59.4</v>
      </c>
      <c r="P278" s="13" t="str">
        <f t="shared" si="35"/>
        <v>Fail</v>
      </c>
      <c r="Q278" s="13" t="str">
        <f t="shared" si="36"/>
        <v>C</v>
      </c>
      <c r="R278" s="13">
        <f t="shared" si="37"/>
        <v>1</v>
      </c>
      <c r="S278" s="13" t="str">
        <f t="shared" si="38"/>
        <v>AVERAGE</v>
      </c>
      <c r="T278" s="13"/>
      <c r="U278" s="14" t="str">
        <f t="shared" si="39"/>
        <v>NO</v>
      </c>
    </row>
    <row r="279" spans="1:21" x14ac:dyDescent="0.3">
      <c r="A279" s="15" t="str">
        <f t="shared" si="32"/>
        <v>ST278</v>
      </c>
      <c r="B279" s="16" t="s">
        <v>15</v>
      </c>
      <c r="C279" s="16">
        <v>24</v>
      </c>
      <c r="D279" s="16" t="s">
        <v>14</v>
      </c>
      <c r="E279" s="16">
        <v>7</v>
      </c>
      <c r="F279" s="16">
        <f t="shared" ca="1" si="33"/>
        <v>61</v>
      </c>
      <c r="G279" s="16">
        <v>2</v>
      </c>
      <c r="H279" s="16">
        <v>57</v>
      </c>
      <c r="I279" s="16">
        <v>37</v>
      </c>
      <c r="J279" s="16">
        <v>26</v>
      </c>
      <c r="K279" s="16">
        <v>94</v>
      </c>
      <c r="L279" s="16">
        <v>29</v>
      </c>
      <c r="M279" s="16">
        <v>92</v>
      </c>
      <c r="N279" s="16">
        <v>64</v>
      </c>
      <c r="O279" s="16">
        <f t="shared" si="34"/>
        <v>61</v>
      </c>
      <c r="P279" s="16" t="str">
        <f t="shared" si="35"/>
        <v>Fail</v>
      </c>
      <c r="Q279" s="16" t="str">
        <f t="shared" si="36"/>
        <v>B</v>
      </c>
      <c r="R279" s="16">
        <f t="shared" si="37"/>
        <v>2</v>
      </c>
      <c r="S279" s="16" t="str">
        <f t="shared" si="38"/>
        <v>GOOD</v>
      </c>
      <c r="T279" s="16"/>
      <c r="U279" s="17" t="str">
        <f t="shared" si="39"/>
        <v>NO</v>
      </c>
    </row>
    <row r="280" spans="1:21" x14ac:dyDescent="0.3">
      <c r="A280" s="12" t="str">
        <f t="shared" si="32"/>
        <v>ST279</v>
      </c>
      <c r="B280" s="13" t="s">
        <v>13</v>
      </c>
      <c r="C280" s="13">
        <v>23</v>
      </c>
      <c r="D280" s="13" t="s">
        <v>18</v>
      </c>
      <c r="E280" s="13">
        <v>8</v>
      </c>
      <c r="F280" s="13">
        <f t="shared" ca="1" si="33"/>
        <v>83</v>
      </c>
      <c r="G280" s="13">
        <v>5</v>
      </c>
      <c r="H280" s="13">
        <v>75</v>
      </c>
      <c r="I280" s="13">
        <v>43</v>
      </c>
      <c r="J280" s="13">
        <v>38</v>
      </c>
      <c r="K280" s="13">
        <v>14</v>
      </c>
      <c r="L280" s="13">
        <v>26</v>
      </c>
      <c r="M280" s="13">
        <v>95</v>
      </c>
      <c r="N280" s="13">
        <v>98</v>
      </c>
      <c r="O280" s="13">
        <f t="shared" si="34"/>
        <v>54.2</v>
      </c>
      <c r="P280" s="13" t="str">
        <f t="shared" si="35"/>
        <v>Fail</v>
      </c>
      <c r="Q280" s="13" t="str">
        <f t="shared" si="36"/>
        <v>C</v>
      </c>
      <c r="R280" s="13">
        <f t="shared" si="37"/>
        <v>3</v>
      </c>
      <c r="S280" s="13" t="str">
        <f t="shared" si="38"/>
        <v>AVERAGE</v>
      </c>
      <c r="T280" s="13"/>
      <c r="U280" s="14" t="str">
        <f t="shared" si="39"/>
        <v>NO</v>
      </c>
    </row>
    <row r="281" spans="1:21" x14ac:dyDescent="0.3">
      <c r="A281" s="15" t="str">
        <f t="shared" si="32"/>
        <v>ST280</v>
      </c>
      <c r="B281" s="16" t="s">
        <v>13</v>
      </c>
      <c r="C281" s="16">
        <v>22</v>
      </c>
      <c r="D281" s="16" t="s">
        <v>18</v>
      </c>
      <c r="E281" s="16">
        <v>7</v>
      </c>
      <c r="F281" s="16">
        <f t="shared" ca="1" si="33"/>
        <v>75</v>
      </c>
      <c r="G281" s="16">
        <v>4.3</v>
      </c>
      <c r="H281" s="16">
        <v>100</v>
      </c>
      <c r="I281" s="16">
        <v>28</v>
      </c>
      <c r="J281" s="16">
        <v>30</v>
      </c>
      <c r="K281" s="16">
        <v>68</v>
      </c>
      <c r="L281" s="16">
        <v>84</v>
      </c>
      <c r="M281" s="16">
        <v>54</v>
      </c>
      <c r="N281" s="16">
        <v>43</v>
      </c>
      <c r="O281" s="16">
        <f t="shared" si="34"/>
        <v>55.800000000000004</v>
      </c>
      <c r="P281" s="16" t="str">
        <f t="shared" si="35"/>
        <v>Fail</v>
      </c>
      <c r="Q281" s="16" t="str">
        <f t="shared" si="36"/>
        <v>C</v>
      </c>
      <c r="R281" s="16">
        <f t="shared" si="37"/>
        <v>1</v>
      </c>
      <c r="S281" s="16" t="str">
        <f t="shared" si="38"/>
        <v>AVERAGE</v>
      </c>
      <c r="T281" s="16"/>
      <c r="U281" s="17" t="str">
        <f t="shared" si="39"/>
        <v>NO</v>
      </c>
    </row>
    <row r="282" spans="1:21" x14ac:dyDescent="0.3">
      <c r="A282" s="12" t="str">
        <f t="shared" si="32"/>
        <v>ST281</v>
      </c>
      <c r="B282" s="13" t="s">
        <v>13</v>
      </c>
      <c r="C282" s="13">
        <v>22</v>
      </c>
      <c r="D282" s="13" t="s">
        <v>16</v>
      </c>
      <c r="E282" s="13">
        <v>8</v>
      </c>
      <c r="F282" s="13">
        <f t="shared" ca="1" si="33"/>
        <v>40</v>
      </c>
      <c r="G282" s="13">
        <v>1.1000000000000001</v>
      </c>
      <c r="H282" s="13">
        <v>64</v>
      </c>
      <c r="I282" s="13">
        <v>47</v>
      </c>
      <c r="J282" s="13">
        <v>66</v>
      </c>
      <c r="K282" s="13">
        <v>63</v>
      </c>
      <c r="L282" s="13">
        <v>79</v>
      </c>
      <c r="M282" s="13">
        <v>60</v>
      </c>
      <c r="N282" s="13">
        <v>53</v>
      </c>
      <c r="O282" s="13">
        <f t="shared" si="34"/>
        <v>64.2</v>
      </c>
      <c r="P282" s="13" t="str">
        <f t="shared" si="35"/>
        <v>Pass</v>
      </c>
      <c r="Q282" s="13" t="str">
        <f t="shared" si="36"/>
        <v>B</v>
      </c>
      <c r="R282" s="13">
        <f t="shared" si="37"/>
        <v>0</v>
      </c>
      <c r="S282" s="13" t="str">
        <f t="shared" si="38"/>
        <v>GOOD</v>
      </c>
      <c r="T282" s="13"/>
      <c r="U282" s="14" t="str">
        <f t="shared" si="39"/>
        <v>YES</v>
      </c>
    </row>
    <row r="283" spans="1:21" x14ac:dyDescent="0.3">
      <c r="A283" s="15" t="str">
        <f t="shared" si="32"/>
        <v>ST282</v>
      </c>
      <c r="B283" s="16" t="s">
        <v>15</v>
      </c>
      <c r="C283" s="16">
        <v>24</v>
      </c>
      <c r="D283" s="16" t="s">
        <v>17</v>
      </c>
      <c r="E283" s="16">
        <v>8</v>
      </c>
      <c r="F283" s="16">
        <f t="shared" ca="1" si="33"/>
        <v>89</v>
      </c>
      <c r="G283" s="16">
        <v>4.4000000000000004</v>
      </c>
      <c r="H283" s="16">
        <v>85</v>
      </c>
      <c r="I283" s="16">
        <v>28</v>
      </c>
      <c r="J283" s="16">
        <v>62</v>
      </c>
      <c r="K283" s="16">
        <v>45</v>
      </c>
      <c r="L283" s="16">
        <v>90</v>
      </c>
      <c r="M283" s="16">
        <v>50</v>
      </c>
      <c r="N283" s="16">
        <v>91</v>
      </c>
      <c r="O283" s="16">
        <f t="shared" si="34"/>
        <v>67.600000000000009</v>
      </c>
      <c r="P283" s="16" t="str">
        <f t="shared" si="35"/>
        <v>Pass</v>
      </c>
      <c r="Q283" s="16" t="str">
        <f t="shared" si="36"/>
        <v>B</v>
      </c>
      <c r="R283" s="16">
        <f t="shared" si="37"/>
        <v>0</v>
      </c>
      <c r="S283" s="16" t="str">
        <f t="shared" si="38"/>
        <v>GOOD</v>
      </c>
      <c r="T283" s="16"/>
      <c r="U283" s="17" t="str">
        <f t="shared" si="39"/>
        <v>YES</v>
      </c>
    </row>
    <row r="284" spans="1:21" x14ac:dyDescent="0.3">
      <c r="A284" s="12" t="str">
        <f t="shared" si="32"/>
        <v>ST283</v>
      </c>
      <c r="B284" s="13" t="s">
        <v>13</v>
      </c>
      <c r="C284" s="13">
        <v>22</v>
      </c>
      <c r="D284" s="13" t="s">
        <v>14</v>
      </c>
      <c r="E284" s="13">
        <v>7</v>
      </c>
      <c r="F284" s="13">
        <f t="shared" ca="1" si="33"/>
        <v>47</v>
      </c>
      <c r="G284" s="13">
        <v>3.8</v>
      </c>
      <c r="H284" s="13">
        <v>55</v>
      </c>
      <c r="I284" s="13">
        <v>30</v>
      </c>
      <c r="J284" s="13">
        <v>70</v>
      </c>
      <c r="K284" s="13">
        <v>29</v>
      </c>
      <c r="L284" s="13">
        <v>73</v>
      </c>
      <c r="M284" s="13">
        <v>75</v>
      </c>
      <c r="N284" s="13">
        <v>72</v>
      </c>
      <c r="O284" s="13">
        <f t="shared" si="34"/>
        <v>63.800000000000004</v>
      </c>
      <c r="P284" s="13" t="str">
        <f t="shared" si="35"/>
        <v>Fail</v>
      </c>
      <c r="Q284" s="13" t="str">
        <f t="shared" si="36"/>
        <v>B</v>
      </c>
      <c r="R284" s="13">
        <f t="shared" si="37"/>
        <v>1</v>
      </c>
      <c r="S284" s="13" t="str">
        <f t="shared" si="38"/>
        <v>GOOD</v>
      </c>
      <c r="T284" s="13"/>
      <c r="U284" s="14" t="str">
        <f t="shared" si="39"/>
        <v>NO</v>
      </c>
    </row>
    <row r="285" spans="1:21" x14ac:dyDescent="0.3">
      <c r="A285" s="15" t="str">
        <f t="shared" si="32"/>
        <v>ST284</v>
      </c>
      <c r="B285" s="16" t="s">
        <v>15</v>
      </c>
      <c r="C285" s="16">
        <v>24</v>
      </c>
      <c r="D285" s="16" t="s">
        <v>16</v>
      </c>
      <c r="E285" s="16">
        <v>7</v>
      </c>
      <c r="F285" s="16">
        <f t="shared" ca="1" si="33"/>
        <v>95</v>
      </c>
      <c r="G285" s="16">
        <v>2.2999999999999998</v>
      </c>
      <c r="H285" s="16">
        <v>79</v>
      </c>
      <c r="I285" s="16">
        <v>24</v>
      </c>
      <c r="J285" s="16">
        <v>14</v>
      </c>
      <c r="K285" s="16">
        <v>45</v>
      </c>
      <c r="L285" s="16">
        <v>79</v>
      </c>
      <c r="M285" s="16">
        <v>56</v>
      </c>
      <c r="N285" s="16">
        <v>35</v>
      </c>
      <c r="O285" s="16">
        <f t="shared" si="34"/>
        <v>45.800000000000004</v>
      </c>
      <c r="P285" s="16" t="str">
        <f t="shared" si="35"/>
        <v>Fail</v>
      </c>
      <c r="Q285" s="16" t="str">
        <f t="shared" si="36"/>
        <v>D</v>
      </c>
      <c r="R285" s="16">
        <f t="shared" si="37"/>
        <v>2</v>
      </c>
      <c r="S285" s="16" t="str">
        <f t="shared" si="38"/>
        <v>AVERAGE</v>
      </c>
      <c r="T285" s="16"/>
      <c r="U285" s="17" t="str">
        <f t="shared" si="39"/>
        <v>NO</v>
      </c>
    </row>
    <row r="286" spans="1:21" x14ac:dyDescent="0.3">
      <c r="A286" s="12" t="str">
        <f t="shared" si="32"/>
        <v>ST285</v>
      </c>
      <c r="B286" s="13" t="s">
        <v>15</v>
      </c>
      <c r="C286" s="13">
        <v>21</v>
      </c>
      <c r="D286" s="13" t="s">
        <v>17</v>
      </c>
      <c r="E286" s="13">
        <v>8</v>
      </c>
      <c r="F286" s="13">
        <f t="shared" ca="1" si="33"/>
        <v>52</v>
      </c>
      <c r="G286" s="13">
        <v>4.5999999999999996</v>
      </c>
      <c r="H286" s="13">
        <v>66</v>
      </c>
      <c r="I286" s="13">
        <v>18</v>
      </c>
      <c r="J286" s="13">
        <v>63</v>
      </c>
      <c r="K286" s="13">
        <v>53</v>
      </c>
      <c r="L286" s="13">
        <v>31</v>
      </c>
      <c r="M286" s="13">
        <v>71</v>
      </c>
      <c r="N286" s="13">
        <v>75</v>
      </c>
      <c r="O286" s="13">
        <f t="shared" si="34"/>
        <v>58.599999999999994</v>
      </c>
      <c r="P286" s="13" t="str">
        <f t="shared" si="35"/>
        <v>Fail</v>
      </c>
      <c r="Q286" s="13" t="str">
        <f t="shared" si="36"/>
        <v>C</v>
      </c>
      <c r="R286" s="13">
        <f t="shared" si="37"/>
        <v>1</v>
      </c>
      <c r="S286" s="13" t="str">
        <f t="shared" si="38"/>
        <v>AVERAGE</v>
      </c>
      <c r="T286" s="13"/>
      <c r="U286" s="14" t="str">
        <f t="shared" si="39"/>
        <v>NO</v>
      </c>
    </row>
    <row r="287" spans="1:21" x14ac:dyDescent="0.3">
      <c r="A287" s="15" t="str">
        <f t="shared" si="32"/>
        <v>ST286</v>
      </c>
      <c r="B287" s="16" t="s">
        <v>13</v>
      </c>
      <c r="C287" s="16">
        <v>24</v>
      </c>
      <c r="D287" s="16" t="s">
        <v>17</v>
      </c>
      <c r="E287" s="16">
        <v>7</v>
      </c>
      <c r="F287" s="16">
        <f t="shared" ca="1" si="33"/>
        <v>86</v>
      </c>
      <c r="G287" s="16">
        <v>1</v>
      </c>
      <c r="H287" s="16">
        <v>85</v>
      </c>
      <c r="I287" s="16">
        <v>22</v>
      </c>
      <c r="J287" s="16">
        <v>81</v>
      </c>
      <c r="K287" s="16">
        <v>85</v>
      </c>
      <c r="L287" s="16">
        <v>95</v>
      </c>
      <c r="M287" s="16">
        <v>78</v>
      </c>
      <c r="N287" s="16">
        <v>57</v>
      </c>
      <c r="O287" s="16">
        <f t="shared" si="34"/>
        <v>79.2</v>
      </c>
      <c r="P287" s="16" t="str">
        <f t="shared" si="35"/>
        <v>Pass</v>
      </c>
      <c r="Q287" s="16" t="str">
        <f t="shared" si="36"/>
        <v>B</v>
      </c>
      <c r="R287" s="16">
        <f t="shared" si="37"/>
        <v>0</v>
      </c>
      <c r="S287" s="16" t="str">
        <f t="shared" si="38"/>
        <v>GOOD</v>
      </c>
      <c r="T287" s="16"/>
      <c r="U287" s="17" t="str">
        <f t="shared" si="39"/>
        <v>YES</v>
      </c>
    </row>
    <row r="288" spans="1:21" x14ac:dyDescent="0.3">
      <c r="A288" s="12" t="str">
        <f t="shared" si="32"/>
        <v>ST287</v>
      </c>
      <c r="B288" s="13" t="s">
        <v>15</v>
      </c>
      <c r="C288" s="13">
        <v>23</v>
      </c>
      <c r="D288" s="13" t="s">
        <v>14</v>
      </c>
      <c r="E288" s="13">
        <v>8</v>
      </c>
      <c r="F288" s="13">
        <f t="shared" ca="1" si="33"/>
        <v>76</v>
      </c>
      <c r="G288" s="13">
        <v>1.6</v>
      </c>
      <c r="H288" s="13">
        <v>71</v>
      </c>
      <c r="I288" s="13">
        <v>29</v>
      </c>
      <c r="J288" s="13">
        <v>15</v>
      </c>
      <c r="K288" s="13">
        <v>75</v>
      </c>
      <c r="L288" s="13">
        <v>97</v>
      </c>
      <c r="M288" s="13">
        <v>54</v>
      </c>
      <c r="N288" s="13">
        <v>61</v>
      </c>
      <c r="O288" s="13">
        <f t="shared" si="34"/>
        <v>60.4</v>
      </c>
      <c r="P288" s="13" t="str">
        <f t="shared" si="35"/>
        <v>Fail</v>
      </c>
      <c r="Q288" s="13" t="str">
        <f t="shared" si="36"/>
        <v>B</v>
      </c>
      <c r="R288" s="13">
        <f t="shared" si="37"/>
        <v>1</v>
      </c>
      <c r="S288" s="13" t="str">
        <f t="shared" si="38"/>
        <v>GOOD</v>
      </c>
      <c r="T288" s="13"/>
      <c r="U288" s="14" t="str">
        <f t="shared" si="39"/>
        <v>NO</v>
      </c>
    </row>
    <row r="289" spans="1:21" x14ac:dyDescent="0.3">
      <c r="A289" s="15" t="str">
        <f t="shared" si="32"/>
        <v>ST288</v>
      </c>
      <c r="B289" s="16" t="s">
        <v>13</v>
      </c>
      <c r="C289" s="16">
        <v>23</v>
      </c>
      <c r="D289" s="16" t="s">
        <v>17</v>
      </c>
      <c r="E289" s="16">
        <v>8</v>
      </c>
      <c r="F289" s="16">
        <f t="shared" ca="1" si="33"/>
        <v>84</v>
      </c>
      <c r="G289" s="16">
        <v>5</v>
      </c>
      <c r="H289" s="16">
        <v>87</v>
      </c>
      <c r="I289" s="16">
        <v>36</v>
      </c>
      <c r="J289" s="16">
        <v>95</v>
      </c>
      <c r="K289" s="16">
        <v>85</v>
      </c>
      <c r="L289" s="16">
        <v>61</v>
      </c>
      <c r="M289" s="16">
        <v>56</v>
      </c>
      <c r="N289" s="16">
        <v>99</v>
      </c>
      <c r="O289" s="16">
        <f t="shared" si="34"/>
        <v>79.2</v>
      </c>
      <c r="P289" s="16" t="str">
        <f t="shared" si="35"/>
        <v>Pass</v>
      </c>
      <c r="Q289" s="16" t="str">
        <f t="shared" si="36"/>
        <v>B</v>
      </c>
      <c r="R289" s="16">
        <f t="shared" si="37"/>
        <v>0</v>
      </c>
      <c r="S289" s="16" t="str">
        <f t="shared" si="38"/>
        <v>GOOD</v>
      </c>
      <c r="T289" s="16"/>
      <c r="U289" s="17" t="str">
        <f t="shared" si="39"/>
        <v>YES</v>
      </c>
    </row>
    <row r="290" spans="1:21" x14ac:dyDescent="0.3">
      <c r="A290" s="12" t="str">
        <f t="shared" si="32"/>
        <v>ST289</v>
      </c>
      <c r="B290" s="13" t="s">
        <v>13</v>
      </c>
      <c r="C290" s="13">
        <v>23</v>
      </c>
      <c r="D290" s="13" t="s">
        <v>14</v>
      </c>
      <c r="E290" s="13">
        <v>8</v>
      </c>
      <c r="F290" s="13">
        <f t="shared" ca="1" si="33"/>
        <v>55</v>
      </c>
      <c r="G290" s="13">
        <v>4</v>
      </c>
      <c r="H290" s="13">
        <v>58</v>
      </c>
      <c r="I290" s="13">
        <v>33</v>
      </c>
      <c r="J290" s="13">
        <v>59</v>
      </c>
      <c r="K290" s="13">
        <v>33</v>
      </c>
      <c r="L290" s="13">
        <v>42</v>
      </c>
      <c r="M290" s="13">
        <v>63</v>
      </c>
      <c r="N290" s="13">
        <v>75</v>
      </c>
      <c r="O290" s="13">
        <f t="shared" si="34"/>
        <v>54.400000000000006</v>
      </c>
      <c r="P290" s="13" t="str">
        <f t="shared" si="35"/>
        <v>Fail</v>
      </c>
      <c r="Q290" s="13" t="str">
        <f t="shared" si="36"/>
        <v>C</v>
      </c>
      <c r="R290" s="13">
        <f t="shared" si="37"/>
        <v>1</v>
      </c>
      <c r="S290" s="13" t="str">
        <f t="shared" si="38"/>
        <v>AVERAGE</v>
      </c>
      <c r="T290" s="13"/>
      <c r="U290" s="14" t="str">
        <f t="shared" si="39"/>
        <v>NO</v>
      </c>
    </row>
    <row r="291" spans="1:21" x14ac:dyDescent="0.3">
      <c r="A291" s="15" t="str">
        <f t="shared" si="32"/>
        <v>ST290</v>
      </c>
      <c r="B291" s="16" t="s">
        <v>13</v>
      </c>
      <c r="C291" s="16">
        <v>23</v>
      </c>
      <c r="D291" s="16" t="s">
        <v>16</v>
      </c>
      <c r="E291" s="16">
        <v>7</v>
      </c>
      <c r="F291" s="16">
        <f t="shared" ca="1" si="33"/>
        <v>91</v>
      </c>
      <c r="G291" s="16">
        <v>5.6</v>
      </c>
      <c r="H291" s="16">
        <v>78</v>
      </c>
      <c r="I291" s="16">
        <v>21</v>
      </c>
      <c r="J291" s="16">
        <v>53</v>
      </c>
      <c r="K291" s="16">
        <v>34</v>
      </c>
      <c r="L291" s="16">
        <v>32</v>
      </c>
      <c r="M291" s="16">
        <v>86</v>
      </c>
      <c r="N291" s="16">
        <v>89</v>
      </c>
      <c r="O291" s="16">
        <f t="shared" si="34"/>
        <v>58.8</v>
      </c>
      <c r="P291" s="16" t="str">
        <f t="shared" si="35"/>
        <v>Fail</v>
      </c>
      <c r="Q291" s="16" t="str">
        <f t="shared" si="36"/>
        <v>C</v>
      </c>
      <c r="R291" s="16">
        <f t="shared" si="37"/>
        <v>2</v>
      </c>
      <c r="S291" s="16" t="str">
        <f t="shared" si="38"/>
        <v>AVERAGE</v>
      </c>
      <c r="T291" s="16"/>
      <c r="U291" s="17" t="str">
        <f t="shared" si="39"/>
        <v>NO</v>
      </c>
    </row>
    <row r="292" spans="1:21" x14ac:dyDescent="0.3">
      <c r="A292" s="12" t="str">
        <f t="shared" si="32"/>
        <v>ST291</v>
      </c>
      <c r="B292" s="13" t="s">
        <v>15</v>
      </c>
      <c r="C292" s="13">
        <v>22</v>
      </c>
      <c r="D292" s="13" t="s">
        <v>18</v>
      </c>
      <c r="E292" s="13">
        <v>7</v>
      </c>
      <c r="F292" s="13">
        <f t="shared" ca="1" si="33"/>
        <v>87</v>
      </c>
      <c r="G292" s="13">
        <v>5.4</v>
      </c>
      <c r="H292" s="13">
        <v>77</v>
      </c>
      <c r="I292" s="13">
        <v>34</v>
      </c>
      <c r="J292" s="13">
        <v>15</v>
      </c>
      <c r="K292" s="13">
        <v>30</v>
      </c>
      <c r="L292" s="13">
        <v>50</v>
      </c>
      <c r="M292" s="13">
        <v>69</v>
      </c>
      <c r="N292" s="13">
        <v>94</v>
      </c>
      <c r="O292" s="13">
        <f t="shared" si="34"/>
        <v>51.6</v>
      </c>
      <c r="P292" s="13" t="str">
        <f t="shared" si="35"/>
        <v>Fail</v>
      </c>
      <c r="Q292" s="13" t="str">
        <f t="shared" si="36"/>
        <v>C</v>
      </c>
      <c r="R292" s="13">
        <f t="shared" si="37"/>
        <v>2</v>
      </c>
      <c r="S292" s="13" t="str">
        <f t="shared" si="38"/>
        <v>AVERAGE</v>
      </c>
      <c r="T292" s="13"/>
      <c r="U292" s="14" t="str">
        <f t="shared" si="39"/>
        <v>NO</v>
      </c>
    </row>
    <row r="293" spans="1:21" x14ac:dyDescent="0.3">
      <c r="A293" s="15" t="str">
        <f t="shared" si="32"/>
        <v>ST292</v>
      </c>
      <c r="B293" s="16" t="s">
        <v>13</v>
      </c>
      <c r="C293" s="16">
        <v>22</v>
      </c>
      <c r="D293" s="16" t="s">
        <v>18</v>
      </c>
      <c r="E293" s="16">
        <v>8</v>
      </c>
      <c r="F293" s="16">
        <f t="shared" ca="1" si="33"/>
        <v>24</v>
      </c>
      <c r="G293" s="16">
        <v>5.6</v>
      </c>
      <c r="H293" s="16">
        <v>50</v>
      </c>
      <c r="I293" s="16">
        <v>44</v>
      </c>
      <c r="J293" s="16">
        <v>79</v>
      </c>
      <c r="K293" s="16">
        <v>82</v>
      </c>
      <c r="L293" s="16">
        <v>70</v>
      </c>
      <c r="M293" s="16">
        <v>62</v>
      </c>
      <c r="N293" s="16">
        <v>94</v>
      </c>
      <c r="O293" s="16">
        <f t="shared" si="34"/>
        <v>77.400000000000006</v>
      </c>
      <c r="P293" s="16" t="str">
        <f t="shared" si="35"/>
        <v>Pass</v>
      </c>
      <c r="Q293" s="16" t="str">
        <f t="shared" si="36"/>
        <v>B</v>
      </c>
      <c r="R293" s="16">
        <f t="shared" si="37"/>
        <v>0</v>
      </c>
      <c r="S293" s="16" t="str">
        <f t="shared" si="38"/>
        <v>GOOD</v>
      </c>
      <c r="T293" s="16"/>
      <c r="U293" s="17" t="str">
        <f t="shared" si="39"/>
        <v>YES</v>
      </c>
    </row>
    <row r="294" spans="1:21" x14ac:dyDescent="0.3">
      <c r="A294" s="12" t="str">
        <f t="shared" si="32"/>
        <v>ST293</v>
      </c>
      <c r="B294" s="13" t="s">
        <v>13</v>
      </c>
      <c r="C294" s="13">
        <v>24</v>
      </c>
      <c r="D294" s="13" t="s">
        <v>16</v>
      </c>
      <c r="E294" s="13">
        <v>7</v>
      </c>
      <c r="F294" s="13">
        <f t="shared" ca="1" si="33"/>
        <v>62</v>
      </c>
      <c r="G294" s="13">
        <v>2.6</v>
      </c>
      <c r="H294" s="13">
        <v>68</v>
      </c>
      <c r="I294" s="13">
        <v>50</v>
      </c>
      <c r="J294" s="13">
        <v>11</v>
      </c>
      <c r="K294" s="13">
        <v>70</v>
      </c>
      <c r="L294" s="13">
        <v>69</v>
      </c>
      <c r="M294" s="13">
        <v>98</v>
      </c>
      <c r="N294" s="13">
        <v>78</v>
      </c>
      <c r="O294" s="13">
        <f t="shared" si="34"/>
        <v>65.2</v>
      </c>
      <c r="P294" s="13" t="str">
        <f t="shared" si="35"/>
        <v>Fail</v>
      </c>
      <c r="Q294" s="13" t="str">
        <f t="shared" si="36"/>
        <v>B</v>
      </c>
      <c r="R294" s="13">
        <f t="shared" si="37"/>
        <v>1</v>
      </c>
      <c r="S294" s="13" t="str">
        <f t="shared" si="38"/>
        <v>GOOD</v>
      </c>
      <c r="T294" s="13"/>
      <c r="U294" s="14" t="str">
        <f t="shared" si="39"/>
        <v>NO</v>
      </c>
    </row>
    <row r="295" spans="1:21" x14ac:dyDescent="0.3">
      <c r="A295" s="15" t="str">
        <f t="shared" si="32"/>
        <v>ST294</v>
      </c>
      <c r="B295" s="16" t="s">
        <v>13</v>
      </c>
      <c r="C295" s="16">
        <v>23</v>
      </c>
      <c r="D295" s="16" t="s">
        <v>17</v>
      </c>
      <c r="E295" s="16">
        <v>7</v>
      </c>
      <c r="F295" s="16">
        <f t="shared" ca="1" si="33"/>
        <v>52</v>
      </c>
      <c r="G295" s="16">
        <v>4.3</v>
      </c>
      <c r="H295" s="16">
        <v>53</v>
      </c>
      <c r="I295" s="16">
        <v>29</v>
      </c>
      <c r="J295" s="16">
        <v>46</v>
      </c>
      <c r="K295" s="16">
        <v>33</v>
      </c>
      <c r="L295" s="16">
        <v>39</v>
      </c>
      <c r="M295" s="16">
        <v>76</v>
      </c>
      <c r="N295" s="16">
        <v>46</v>
      </c>
      <c r="O295" s="16">
        <f t="shared" si="34"/>
        <v>48</v>
      </c>
      <c r="P295" s="16" t="str">
        <f t="shared" si="35"/>
        <v>Fail</v>
      </c>
      <c r="Q295" s="16" t="str">
        <f t="shared" si="36"/>
        <v>D</v>
      </c>
      <c r="R295" s="16">
        <f t="shared" si="37"/>
        <v>2</v>
      </c>
      <c r="S295" s="16" t="str">
        <f t="shared" si="38"/>
        <v>AVERAGE</v>
      </c>
      <c r="T295" s="16"/>
      <c r="U295" s="17" t="str">
        <f t="shared" si="39"/>
        <v>NO</v>
      </c>
    </row>
    <row r="296" spans="1:21" x14ac:dyDescent="0.3">
      <c r="A296" s="12" t="str">
        <f t="shared" si="32"/>
        <v>ST295</v>
      </c>
      <c r="B296" s="13" t="s">
        <v>13</v>
      </c>
      <c r="C296" s="13">
        <v>24</v>
      </c>
      <c r="D296" s="13" t="s">
        <v>17</v>
      </c>
      <c r="E296" s="13">
        <v>8</v>
      </c>
      <c r="F296" s="13">
        <f t="shared" ca="1" si="33"/>
        <v>51</v>
      </c>
      <c r="G296" s="13">
        <v>3.7</v>
      </c>
      <c r="H296" s="13">
        <v>67</v>
      </c>
      <c r="I296" s="13">
        <v>41</v>
      </c>
      <c r="J296" s="13">
        <v>90</v>
      </c>
      <c r="K296" s="13">
        <v>36</v>
      </c>
      <c r="L296" s="13">
        <v>97</v>
      </c>
      <c r="M296" s="13">
        <v>56</v>
      </c>
      <c r="N296" s="13">
        <v>78</v>
      </c>
      <c r="O296" s="13">
        <f t="shared" si="34"/>
        <v>71.399999999999991</v>
      </c>
      <c r="P296" s="13" t="str">
        <f t="shared" si="35"/>
        <v>Fail</v>
      </c>
      <c r="Q296" s="13" t="str">
        <f t="shared" si="36"/>
        <v>B</v>
      </c>
      <c r="R296" s="13">
        <f t="shared" si="37"/>
        <v>1</v>
      </c>
      <c r="S296" s="13" t="str">
        <f t="shared" si="38"/>
        <v>GOOD</v>
      </c>
      <c r="T296" s="13"/>
      <c r="U296" s="14" t="str">
        <f t="shared" si="39"/>
        <v>NO</v>
      </c>
    </row>
    <row r="297" spans="1:21" x14ac:dyDescent="0.3">
      <c r="A297" s="15" t="str">
        <f t="shared" si="32"/>
        <v>ST296</v>
      </c>
      <c r="B297" s="16" t="s">
        <v>13</v>
      </c>
      <c r="C297" s="16">
        <v>21</v>
      </c>
      <c r="D297" s="16" t="s">
        <v>17</v>
      </c>
      <c r="E297" s="16">
        <v>8</v>
      </c>
      <c r="F297" s="16">
        <f t="shared" ca="1" si="33"/>
        <v>60</v>
      </c>
      <c r="G297" s="16">
        <v>1.2</v>
      </c>
      <c r="H297" s="16">
        <v>67</v>
      </c>
      <c r="I297" s="16">
        <v>33</v>
      </c>
      <c r="J297" s="16">
        <v>22</v>
      </c>
      <c r="K297" s="16">
        <v>35</v>
      </c>
      <c r="L297" s="16">
        <v>87</v>
      </c>
      <c r="M297" s="16">
        <v>96</v>
      </c>
      <c r="N297" s="16">
        <v>98</v>
      </c>
      <c r="O297" s="16">
        <f t="shared" si="34"/>
        <v>67.600000000000009</v>
      </c>
      <c r="P297" s="16" t="str">
        <f t="shared" si="35"/>
        <v>Fail</v>
      </c>
      <c r="Q297" s="16" t="str">
        <f t="shared" si="36"/>
        <v>B</v>
      </c>
      <c r="R297" s="16">
        <f t="shared" si="37"/>
        <v>2</v>
      </c>
      <c r="S297" s="16" t="str">
        <f t="shared" si="38"/>
        <v>GOOD</v>
      </c>
      <c r="T297" s="16"/>
      <c r="U297" s="17" t="str">
        <f t="shared" si="39"/>
        <v>NO</v>
      </c>
    </row>
    <row r="298" spans="1:21" x14ac:dyDescent="0.3">
      <c r="A298" s="12" t="str">
        <f t="shared" si="32"/>
        <v>ST297</v>
      </c>
      <c r="B298" s="13" t="s">
        <v>15</v>
      </c>
      <c r="C298" s="13">
        <v>24</v>
      </c>
      <c r="D298" s="13" t="s">
        <v>14</v>
      </c>
      <c r="E298" s="13">
        <v>8</v>
      </c>
      <c r="F298" s="13">
        <f t="shared" ca="1" si="33"/>
        <v>75</v>
      </c>
      <c r="G298" s="13">
        <v>5</v>
      </c>
      <c r="H298" s="13">
        <v>98</v>
      </c>
      <c r="I298" s="13">
        <v>45</v>
      </c>
      <c r="J298" s="13">
        <v>70</v>
      </c>
      <c r="K298" s="13">
        <v>74</v>
      </c>
      <c r="L298" s="13">
        <v>71</v>
      </c>
      <c r="M298" s="13">
        <v>54</v>
      </c>
      <c r="N298" s="13">
        <v>71</v>
      </c>
      <c r="O298" s="13">
        <f t="shared" si="34"/>
        <v>68</v>
      </c>
      <c r="P298" s="13" t="str">
        <f t="shared" si="35"/>
        <v>Pass</v>
      </c>
      <c r="Q298" s="13" t="str">
        <f t="shared" si="36"/>
        <v>B</v>
      </c>
      <c r="R298" s="13">
        <f t="shared" si="37"/>
        <v>0</v>
      </c>
      <c r="S298" s="13" t="str">
        <f t="shared" si="38"/>
        <v>GOOD</v>
      </c>
      <c r="T298" s="13"/>
      <c r="U298" s="14" t="str">
        <f t="shared" si="39"/>
        <v>YES</v>
      </c>
    </row>
    <row r="299" spans="1:21" x14ac:dyDescent="0.3">
      <c r="A299" s="15" t="str">
        <f t="shared" si="32"/>
        <v>ST298</v>
      </c>
      <c r="B299" s="16" t="s">
        <v>15</v>
      </c>
      <c r="C299" s="16">
        <v>23</v>
      </c>
      <c r="D299" s="16" t="s">
        <v>14</v>
      </c>
      <c r="E299" s="16">
        <v>8</v>
      </c>
      <c r="F299" s="16">
        <f t="shared" ca="1" si="33"/>
        <v>49</v>
      </c>
      <c r="G299" s="16">
        <v>4.5999999999999996</v>
      </c>
      <c r="H299" s="16">
        <v>59</v>
      </c>
      <c r="I299" s="16">
        <v>29</v>
      </c>
      <c r="J299" s="16">
        <v>45</v>
      </c>
      <c r="K299" s="16">
        <v>60</v>
      </c>
      <c r="L299" s="16">
        <v>84</v>
      </c>
      <c r="M299" s="16">
        <v>87</v>
      </c>
      <c r="N299" s="16">
        <v>47</v>
      </c>
      <c r="O299" s="16">
        <f t="shared" si="34"/>
        <v>64.600000000000009</v>
      </c>
      <c r="P299" s="16" t="str">
        <f t="shared" si="35"/>
        <v>Pass</v>
      </c>
      <c r="Q299" s="16" t="str">
        <f t="shared" si="36"/>
        <v>B</v>
      </c>
      <c r="R299" s="16">
        <f t="shared" si="37"/>
        <v>0</v>
      </c>
      <c r="S299" s="16" t="str">
        <f t="shared" si="38"/>
        <v>GOOD</v>
      </c>
      <c r="T299" s="16"/>
      <c r="U299" s="17" t="str">
        <f t="shared" si="39"/>
        <v>YES</v>
      </c>
    </row>
    <row r="300" spans="1:21" x14ac:dyDescent="0.3">
      <c r="A300" s="12" t="str">
        <f t="shared" si="32"/>
        <v>ST299</v>
      </c>
      <c r="B300" s="13" t="s">
        <v>13</v>
      </c>
      <c r="C300" s="13">
        <v>23</v>
      </c>
      <c r="D300" s="13" t="s">
        <v>18</v>
      </c>
      <c r="E300" s="13">
        <v>8</v>
      </c>
      <c r="F300" s="13">
        <f t="shared" ca="1" si="33"/>
        <v>76</v>
      </c>
      <c r="G300" s="13">
        <v>4.8</v>
      </c>
      <c r="H300" s="13">
        <v>90</v>
      </c>
      <c r="I300" s="13">
        <v>39</v>
      </c>
      <c r="J300" s="13">
        <v>29</v>
      </c>
      <c r="K300" s="13">
        <v>73</v>
      </c>
      <c r="L300" s="13">
        <v>25</v>
      </c>
      <c r="M300" s="13">
        <v>58</v>
      </c>
      <c r="N300" s="13">
        <v>74</v>
      </c>
      <c r="O300" s="13">
        <f t="shared" si="34"/>
        <v>51.800000000000004</v>
      </c>
      <c r="P300" s="13" t="str">
        <f t="shared" si="35"/>
        <v>Fail</v>
      </c>
      <c r="Q300" s="13" t="str">
        <f t="shared" si="36"/>
        <v>C</v>
      </c>
      <c r="R300" s="13">
        <f t="shared" si="37"/>
        <v>2</v>
      </c>
      <c r="S300" s="13" t="str">
        <f t="shared" si="38"/>
        <v>AVERAGE</v>
      </c>
      <c r="T300" s="13"/>
      <c r="U300" s="14" t="str">
        <f t="shared" si="39"/>
        <v>NO</v>
      </c>
    </row>
    <row r="301" spans="1:21" x14ac:dyDescent="0.3">
      <c r="A301" s="1" t="str">
        <f>"ST"&amp;TEXT(ROW()-1,"000")</f>
        <v>ST300</v>
      </c>
      <c r="B301" s="2" t="s">
        <v>15</v>
      </c>
      <c r="C301" s="2">
        <v>24</v>
      </c>
      <c r="D301" s="2" t="s">
        <v>17</v>
      </c>
      <c r="E301" s="2">
        <v>7</v>
      </c>
      <c r="F301" s="2">
        <f t="shared" ca="1" si="33"/>
        <v>95</v>
      </c>
      <c r="G301" s="2">
        <v>2.2999999999999998</v>
      </c>
      <c r="H301" s="2">
        <v>86</v>
      </c>
      <c r="I301" s="2">
        <v>25</v>
      </c>
      <c r="J301" s="2">
        <v>15</v>
      </c>
      <c r="K301" s="2">
        <v>53</v>
      </c>
      <c r="L301" s="2">
        <v>70</v>
      </c>
      <c r="M301" s="2">
        <v>64</v>
      </c>
      <c r="N301" s="2">
        <v>69</v>
      </c>
      <c r="O301" s="2">
        <f t="shared" si="34"/>
        <v>54.2</v>
      </c>
      <c r="P301" s="2" t="str">
        <f t="shared" si="35"/>
        <v>Fail</v>
      </c>
      <c r="Q301" s="2" t="str">
        <f t="shared" si="36"/>
        <v>C</v>
      </c>
      <c r="R301" s="2">
        <f t="shared" si="37"/>
        <v>1</v>
      </c>
      <c r="S301" s="2" t="str">
        <f t="shared" si="38"/>
        <v>AVERAGE</v>
      </c>
      <c r="T301" s="2"/>
      <c r="U301" s="5" t="str">
        <f t="shared" si="39"/>
        <v>NO</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C516E-6FE0-4854-AF4D-D01D340D6DDB}">
  <dimension ref="A3:B7"/>
  <sheetViews>
    <sheetView workbookViewId="0">
      <selection activeCell="A25" sqref="A25"/>
    </sheetView>
  </sheetViews>
  <sheetFormatPr defaultRowHeight="14.4" x14ac:dyDescent="0.3"/>
  <cols>
    <col min="1" max="1" width="12.5546875" bestFit="1" customWidth="1"/>
    <col min="2" max="2" width="19.109375" bestFit="1" customWidth="1"/>
  </cols>
  <sheetData>
    <row r="3" spans="1:2" x14ac:dyDescent="0.3">
      <c r="A3" s="3" t="s">
        <v>21</v>
      </c>
      <c r="B3" t="s">
        <v>28</v>
      </c>
    </row>
    <row r="4" spans="1:2" x14ac:dyDescent="0.3">
      <c r="A4" s="4" t="s">
        <v>24</v>
      </c>
      <c r="B4" s="20">
        <v>141</v>
      </c>
    </row>
    <row r="5" spans="1:2" x14ac:dyDescent="0.3">
      <c r="A5" s="4" t="s">
        <v>25</v>
      </c>
      <c r="B5" s="20">
        <v>9</v>
      </c>
    </row>
    <row r="6" spans="1:2" x14ac:dyDescent="0.3">
      <c r="A6" s="4" t="s">
        <v>26</v>
      </c>
      <c r="B6" s="20">
        <v>149</v>
      </c>
    </row>
    <row r="7" spans="1:2" x14ac:dyDescent="0.3">
      <c r="A7" s="4" t="s">
        <v>27</v>
      </c>
      <c r="B7" s="20">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19015-B219-4126-8C4C-05C3A1CCD708}">
  <dimension ref="A3:B6"/>
  <sheetViews>
    <sheetView workbookViewId="0">
      <selection activeCell="B5" sqref="B5"/>
    </sheetView>
  </sheetViews>
  <sheetFormatPr defaultRowHeight="14.4" x14ac:dyDescent="0.3"/>
  <cols>
    <col min="1" max="1" width="12.5546875" bestFit="1" customWidth="1"/>
    <col min="2" max="2" width="19.109375" bestFit="1" customWidth="1"/>
  </cols>
  <sheetData>
    <row r="3" spans="1:2" x14ac:dyDescent="0.3">
      <c r="A3" s="3" t="s">
        <v>21</v>
      </c>
      <c r="B3" t="s">
        <v>28</v>
      </c>
    </row>
    <row r="4" spans="1:2" x14ac:dyDescent="0.3">
      <c r="A4" s="4" t="s">
        <v>15</v>
      </c>
      <c r="B4" s="20">
        <v>142</v>
      </c>
    </row>
    <row r="5" spans="1:2" x14ac:dyDescent="0.3">
      <c r="A5" s="4" t="s">
        <v>13</v>
      </c>
      <c r="B5" s="20">
        <v>158</v>
      </c>
    </row>
    <row r="6" spans="1:2" x14ac:dyDescent="0.3">
      <c r="A6" s="4" t="s">
        <v>22</v>
      </c>
      <c r="B6" s="20">
        <v>300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D9C9B-4A70-4E59-9F1F-450A1D4510B7}">
  <dimension ref="A3:B6"/>
  <sheetViews>
    <sheetView workbookViewId="0">
      <selection activeCell="E29" sqref="E29"/>
    </sheetView>
  </sheetViews>
  <sheetFormatPr defaultRowHeight="14.4" x14ac:dyDescent="0.3"/>
  <cols>
    <col min="1" max="1" width="12.5546875" bestFit="1" customWidth="1"/>
    <col min="2" max="2" width="19.109375" bestFit="1" customWidth="1"/>
    <col min="3" max="3" width="4.6640625" bestFit="1" customWidth="1"/>
    <col min="4" max="4" width="10.77734375" bestFit="1" customWidth="1"/>
    <col min="5" max="62" width="15.5546875" bestFit="1" customWidth="1"/>
    <col min="63" max="64" width="10.77734375" bestFit="1" customWidth="1"/>
  </cols>
  <sheetData>
    <row r="3" spans="1:2" x14ac:dyDescent="0.3">
      <c r="A3" s="3" t="s">
        <v>21</v>
      </c>
      <c r="B3" t="s">
        <v>28</v>
      </c>
    </row>
    <row r="4" spans="1:2" x14ac:dyDescent="0.3">
      <c r="A4" s="4" t="s">
        <v>31</v>
      </c>
      <c r="B4" s="20">
        <v>221</v>
      </c>
    </row>
    <row r="5" spans="1:2" x14ac:dyDescent="0.3">
      <c r="A5" s="4" t="s">
        <v>30</v>
      </c>
      <c r="B5" s="20">
        <v>79</v>
      </c>
    </row>
    <row r="6" spans="1:2" x14ac:dyDescent="0.3">
      <c r="A6" s="4" t="s">
        <v>22</v>
      </c>
      <c r="B6" s="20">
        <v>300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758C2-872A-4B47-A9B1-8485F68542A1}">
  <dimension ref="A3:B9"/>
  <sheetViews>
    <sheetView workbookViewId="0">
      <selection activeCell="P4" sqref="P4"/>
    </sheetView>
  </sheetViews>
  <sheetFormatPr defaultRowHeight="14.4" x14ac:dyDescent="0.3"/>
  <cols>
    <col min="1" max="1" width="12.5546875" bestFit="1" customWidth="1"/>
    <col min="2" max="2" width="19.109375" bestFit="1" customWidth="1"/>
  </cols>
  <sheetData>
    <row r="3" spans="1:2" x14ac:dyDescent="0.3">
      <c r="A3" s="3" t="s">
        <v>21</v>
      </c>
      <c r="B3" t="s">
        <v>28</v>
      </c>
    </row>
    <row r="4" spans="1:2" x14ac:dyDescent="0.3">
      <c r="A4" s="4">
        <v>0</v>
      </c>
      <c r="B4" s="20">
        <v>79</v>
      </c>
    </row>
    <row r="5" spans="1:2" x14ac:dyDescent="0.3">
      <c r="A5" s="4">
        <v>1</v>
      </c>
      <c r="B5" s="20">
        <v>140</v>
      </c>
    </row>
    <row r="6" spans="1:2" x14ac:dyDescent="0.3">
      <c r="A6" s="4">
        <v>2</v>
      </c>
      <c r="B6" s="20">
        <v>65</v>
      </c>
    </row>
    <row r="7" spans="1:2" x14ac:dyDescent="0.3">
      <c r="A7" s="4">
        <v>3</v>
      </c>
      <c r="B7" s="20">
        <v>15</v>
      </c>
    </row>
    <row r="8" spans="1:2" x14ac:dyDescent="0.3">
      <c r="A8" s="4">
        <v>4</v>
      </c>
      <c r="B8" s="20">
        <v>1</v>
      </c>
    </row>
    <row r="9" spans="1:2" x14ac:dyDescent="0.3">
      <c r="A9" s="4" t="s">
        <v>22</v>
      </c>
      <c r="B9" s="20">
        <v>300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6F6C4-17D2-486B-93C5-9EF71B8F86B7}">
  <dimension ref="A3:B6"/>
  <sheetViews>
    <sheetView workbookViewId="0">
      <selection activeCell="C24" sqref="C24"/>
    </sheetView>
  </sheetViews>
  <sheetFormatPr defaultRowHeight="14.4" x14ac:dyDescent="0.3"/>
  <cols>
    <col min="1" max="1" width="12.5546875" bestFit="1" customWidth="1"/>
    <col min="2" max="2" width="19.109375" bestFit="1" customWidth="1"/>
  </cols>
  <sheetData>
    <row r="3" spans="1:2" x14ac:dyDescent="0.3">
      <c r="A3" s="3" t="s">
        <v>21</v>
      </c>
      <c r="B3" t="s">
        <v>28</v>
      </c>
    </row>
    <row r="4" spans="1:2" x14ac:dyDescent="0.3">
      <c r="A4" s="4" t="s">
        <v>32</v>
      </c>
      <c r="B4" s="20">
        <v>221</v>
      </c>
    </row>
    <row r="5" spans="1:2" x14ac:dyDescent="0.3">
      <c r="A5" s="4" t="s">
        <v>33</v>
      </c>
      <c r="B5" s="20">
        <v>79</v>
      </c>
    </row>
    <row r="6" spans="1:2" x14ac:dyDescent="0.3">
      <c r="A6" s="4" t="s">
        <v>22</v>
      </c>
      <c r="B6" s="20">
        <v>300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5CC0D-432B-4391-9A40-FE76963790C5}">
  <dimension ref="A3:B9"/>
  <sheetViews>
    <sheetView workbookViewId="0">
      <selection activeCell="L12" sqref="L12"/>
    </sheetView>
  </sheetViews>
  <sheetFormatPr defaultRowHeight="14.4" x14ac:dyDescent="0.3"/>
  <cols>
    <col min="1" max="1" width="20.6640625" bestFit="1" customWidth="1"/>
    <col min="2" max="2" width="15.5546875" bestFit="1" customWidth="1"/>
    <col min="3" max="6" width="12" bestFit="1" customWidth="1"/>
    <col min="7" max="7" width="10.77734375" bestFit="1" customWidth="1"/>
  </cols>
  <sheetData>
    <row r="3" spans="1:2" x14ac:dyDescent="0.3">
      <c r="A3" s="3" t="s">
        <v>21</v>
      </c>
      <c r="B3" t="s">
        <v>40</v>
      </c>
    </row>
    <row r="4" spans="1:2" x14ac:dyDescent="0.3">
      <c r="A4" s="4" t="s">
        <v>38</v>
      </c>
      <c r="B4">
        <v>76.266666666666666</v>
      </c>
    </row>
    <row r="5" spans="1:2" x14ac:dyDescent="0.3">
      <c r="A5" s="4" t="s">
        <v>35</v>
      </c>
      <c r="B5">
        <v>54.176666666666669</v>
      </c>
    </row>
    <row r="6" spans="1:2" x14ac:dyDescent="0.3">
      <c r="A6" s="4" t="s">
        <v>39</v>
      </c>
      <c r="B6">
        <v>66.663333333333327</v>
      </c>
    </row>
    <row r="7" spans="1:2" x14ac:dyDescent="0.3">
      <c r="A7" s="4" t="s">
        <v>36</v>
      </c>
      <c r="B7">
        <v>49.39</v>
      </c>
    </row>
    <row r="8" spans="1:2" x14ac:dyDescent="0.3">
      <c r="A8" s="4" t="s">
        <v>37</v>
      </c>
      <c r="B8">
        <v>59.413333333333334</v>
      </c>
    </row>
    <row r="9" spans="1:2" x14ac:dyDescent="0.3">
      <c r="A9" s="4" t="s">
        <v>22</v>
      </c>
      <c r="B9">
        <v>305.91000000000003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3EC33-7E0C-46AB-AB27-AF5830BDE4C0}">
  <dimension ref="A3:C6"/>
  <sheetViews>
    <sheetView workbookViewId="0">
      <selection activeCell="I25" sqref="I25"/>
    </sheetView>
  </sheetViews>
  <sheetFormatPr defaultRowHeight="14.4" x14ac:dyDescent="0.3"/>
  <cols>
    <col min="1" max="1" width="19.109375" bestFit="1" customWidth="1"/>
    <col min="2" max="2" width="15.5546875" bestFit="1" customWidth="1"/>
    <col min="3" max="3" width="4" bestFit="1" customWidth="1"/>
    <col min="4" max="5" width="10.77734375" bestFit="1" customWidth="1"/>
  </cols>
  <sheetData>
    <row r="3" spans="1:3" x14ac:dyDescent="0.3">
      <c r="A3" s="3" t="s">
        <v>28</v>
      </c>
      <c r="B3" s="3" t="s">
        <v>29</v>
      </c>
    </row>
    <row r="4" spans="1:3" x14ac:dyDescent="0.3">
      <c r="A4" s="3" t="s">
        <v>21</v>
      </c>
      <c r="B4" t="s">
        <v>32</v>
      </c>
      <c r="C4" t="s">
        <v>33</v>
      </c>
    </row>
    <row r="5" spans="1:3" x14ac:dyDescent="0.3">
      <c r="A5" s="4" t="s">
        <v>15</v>
      </c>
      <c r="B5">
        <v>107</v>
      </c>
      <c r="C5">
        <v>35</v>
      </c>
    </row>
    <row r="6" spans="1:3" x14ac:dyDescent="0.3">
      <c r="A6" s="4" t="s">
        <v>13</v>
      </c>
      <c r="B6">
        <v>114</v>
      </c>
      <c r="C6">
        <v>44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31561-400C-4532-B732-E79F04FC8143}">
  <dimension ref="A1:AF3"/>
  <sheetViews>
    <sheetView showGridLines="0" tabSelected="1" zoomScale="75" workbookViewId="0">
      <selection activeCell="R25" sqref="R25"/>
    </sheetView>
  </sheetViews>
  <sheetFormatPr defaultRowHeight="14.4" x14ac:dyDescent="0.3"/>
  <cols>
    <col min="1" max="16384" width="8.88671875" style="7"/>
  </cols>
  <sheetData>
    <row r="1" spans="1:32" s="6" customFormat="1" ht="14.4" customHeight="1" x14ac:dyDescent="0.3">
      <c r="A1" s="18" t="s">
        <v>42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row>
    <row r="2" spans="1:32" customFormat="1" x14ac:dyDescent="0.3">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row>
    <row r="3" spans="1:32" customFormat="1" x14ac:dyDescent="0.3">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row>
  </sheetData>
  <mergeCells count="1">
    <mergeCell ref="A1:AF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ROW DATA</vt:lpstr>
      <vt:lpstr>PERFORMANCES</vt:lpstr>
      <vt:lpstr>MALE VS FEMALE</vt:lpstr>
      <vt:lpstr>PASS VS FAIL</vt:lpstr>
      <vt:lpstr>BACKLOGS</vt:lpstr>
      <vt:lpstr>PLACEMENTS</vt:lpstr>
      <vt:lpstr>EACH SUBJECT</vt:lpstr>
      <vt:lpstr>MALE VS FEMALE PLACEMENT</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rachit rathi</dc:creator>
  <cp:lastModifiedBy>rachit rathi</cp:lastModifiedBy>
  <dcterms:created xsi:type="dcterms:W3CDTF">2026-09-28T07:49:49Z</dcterms:created>
  <dcterms:modified xsi:type="dcterms:W3CDTF">2026-09-28T13:07:29Z</dcterms:modified>
</cp:coreProperties>
</file>